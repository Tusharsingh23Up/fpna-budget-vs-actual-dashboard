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42db98f9d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938b3adec71482a"/>
    <x:sheet xmlns:r="http://schemas.openxmlformats.org/officeDocument/2006/relationships" name="Assumptions" sheetId="2" r:id="Ra2e40b4355b34782"/>
    <x:sheet xmlns:r="http://schemas.openxmlformats.org/officeDocument/2006/relationships" name="Monthly_Data" sheetId="3" r:id="Rad92c916b3654cde"/>
    <x:sheet xmlns:r="http://schemas.openxmlformats.org/officeDocument/2006/relationships" name="Variance_Analysis" sheetId="4" r:id="Red82f3ddca844fad"/>
    <x:sheet xmlns:r="http://schemas.openxmlformats.org/officeDocument/2006/relationships" name="Forecast" sheetId="5" r:id="Raeae50bcd5fd44b4"/>
    <x:sheet xmlns:r="http://schemas.openxmlformats.org/officeDocument/2006/relationships" name="Sources" sheetId="6" r:id="R1e634225c78a4366"/>
    <x:sheet xmlns:r="http://schemas.openxmlformats.org/officeDocument/2006/relationships" name="How_To_Use" sheetId="7" r:id="R873e6fc86041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mmm-yy"/>
    <x:numFmt numFmtId="202" formatCode="$#,##0;[Red]($#,##0);-"/>
    <x:numFmt numFmtId="203" formatCode="$#,##0,&quot;k&quot;;[Red]($#,##0,&quot;k&quot;);-"/>
  </x:numFmts>
  <x:fonts count="19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000FF"/>
      <x:name val="Carlito"/>
    </x:font>
    <x:font>
      <x:b/>
      <x:sz val="11"/>
      <x:color rgb="0000FF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sz val="11"/>
      <x:color rgb="008000"/>
      <x:name val="Carlito"/>
    </x:font>
    <x:font>
      <x:b/>
      <x:sz val="16"/>
      <x:color rgb="FFFFFF"/>
      <x:name val="Carlito"/>
    </x:font>
    <x:font>
      <x:b/>
      <x:sz val="11"/>
      <x:color rgb="FFFFFF"/>
      <x:name val="Calibri"/>
    </x:font>
    <x:font>
      <x:sz val="11"/>
      <x:name val="Calibri"/>
    </x:font>
    <x:font>
      <x:b/>
      <x:sz val="11"/>
      <x:name val="Calibri"/>
    </x:font>
    <x:font>
      <x:sz val="11"/>
      <x:color rgb="0000FF"/>
      <x:name val="Calibri"/>
    </x:font>
    <x:font>
      <x:b/>
      <x:sz val="11"/>
      <x:color rgb="0000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  <x:font>
      <x:sz val="11"/>
      <x:color rgb="008000"/>
      <x:name val="Calibri"/>
    </x:font>
    <x:font>
      <x:b/>
      <x:sz val="14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111827"/>
      </x:patternFill>
    </x:fill>
  </x:fills>
  <x:borders count="4">
    <x:border/>
    <x:border/>
    <x:border>
      <x:top>
        <x:color rgb="111827"/>
      </x:top>
    </x:border>
    <x:border>
      <x:top>
        <x:color rgb="111827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2" fillId="5" borderId="2" xfId="0" applyNumberFormat="1" applyFont="1" applyFill="1" applyBorder="1"/>
    <x:xf numFmtId="202" fontId="0" fillId="0" borderId="1" xfId="0" applyNumberFormat="1" applyFont="1" applyFill="1" applyBorder="1"/>
    <x:xf numFmtId="202" fontId="2" fillId="5" borderId="3" xfId="0" applyNumberFormat="1" applyFont="1" applyFill="1" applyBorder="1"/>
    <x:xf numFmtId="200" fontId="0" fillId="0" borderId="0" xfId="0" applyNumberFormat="1" applyFont="1" applyFill="1" applyBorder="1"/>
    <x:xf numFmtId="200" fontId="2" fillId="5" borderId="2" xfId="0" applyNumberFormat="1" applyFont="1" applyFill="1" applyBorder="1"/>
    <x:xf numFmtId="200" fontId="0" fillId="0" borderId="1" xfId="0" applyNumberFormat="1" applyFont="1" applyFill="1" applyBorder="1"/>
    <x:xf numFmtId="200" fontId="2" fillId="5" borderId="3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7" fillId="5" borderId="2" xfId="0" applyNumberFormat="1" applyFont="1" applyFill="1" applyBorder="1"/>
    <x:xf numFmtId="200" fontId="7" fillId="5" borderId="2" xfId="0" applyNumberFormat="1" applyFont="1" applyFill="1" applyBorder="1"/>
    <x:xf numFmtId="202" fontId="6" fillId="0" borderId="1" xfId="0" applyNumberFormat="1" applyFont="1" applyFill="1" applyBorder="1"/>
    <x:xf numFmtId="200" fontId="6" fillId="0" borderId="1" xfId="0" applyNumberFormat="1" applyFont="1" applyFill="1" applyBorder="1"/>
    <x:xf numFmtId="202" fontId="7" fillId="5" borderId="3" xfId="0" applyNumberFormat="1" applyFont="1" applyFill="1" applyBorder="1"/>
    <x:xf numFmtId="200" fontId="7" fillId="5" borderId="3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3" fontId="2" fillId="3" borderId="0" xfId="0" applyNumberFormat="1" applyFont="1" applyFill="1" applyBorder="1" applyAlignment="1">
      <x:alignment horizontal="center"/>
    </x:xf>
    <x:xf numFmtId="203" fontId="2" fillId="3" borderId="1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/>
    </x:xf>
    <x:xf numFmtId="200" fontId="2" fillId="3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203" fontId="12" fillId="3" borderId="0" xfId="0" applyNumberFormat="1" applyFont="1" applyFill="1" applyBorder="1" applyAlignment="1">
      <x:alignment horizontal="center"/>
    </x:xf>
    <x:xf numFmtId="200" fontId="12" fillId="3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202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203" fontId="12" fillId="3" borderId="1" xfId="0" applyNumberFormat="1" applyFont="1" applyFill="1" applyBorder="1" applyAlignment="1">
      <x:alignment horizontal="center"/>
    </x:xf>
    <x:xf numFmtId="200" fontId="12" fillId="3" borderId="1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/>
    <x:xf numFmtId="202" fontId="11" fillId="0" borderId="1" xfId="0" applyNumberFormat="1" applyFont="1" applyFill="1" applyBorder="1"/>
    <x:xf numFmtId="201" fontId="11" fillId="0" borderId="1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200" fontId="14" fillId="4" borderId="0" xfId="0" applyNumberFormat="1" applyFont="1" applyFill="1" applyBorder="1"/>
    <x:xf numFmtId="0" fontId="12" fillId="3" borderId="1" xfId="0" applyNumberFormat="1" applyFont="1" applyFill="1" applyBorder="1"/>
    <x:xf numFmtId="0" fontId="13" fillId="0" borderId="1" xfId="0" applyNumberFormat="1" applyFont="1" applyFill="1" applyBorder="1"/>
    <x:xf numFmtId="200" fontId="14" fillId="4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wrapText="1"/>
    </x:xf>
    <x:xf numFmtId="202" fontId="13" fillId="0" borderId="0" xfId="0" applyNumberFormat="1" applyFont="1" applyFill="1" applyBorder="1"/>
    <x:xf numFmtId="202" fontId="15" fillId="0" borderId="0" xfId="0" applyNumberFormat="1" applyFont="1" applyFill="1" applyBorder="1"/>
    <x:xf numFmtId="200" fontId="15" fillId="0" borderId="0" xfId="0" applyNumberFormat="1" applyFont="1" applyFill="1" applyBorder="1"/>
    <x:xf numFmtId="200" fontId="11" fillId="0" borderId="0" xfId="0" applyNumberFormat="1" applyFont="1" applyFill="1" applyBorder="1"/>
    <x:xf numFmtId="0" fontId="12" fillId="5" borderId="2" xfId="0" applyNumberFormat="1" applyFont="1" applyFill="1" applyBorder="1"/>
    <x:xf numFmtId="202" fontId="12" fillId="5" borderId="2" xfId="0" applyNumberFormat="1" applyFont="1" applyFill="1" applyBorder="1"/>
    <x:xf numFmtId="202" fontId="16" fillId="5" borderId="2" xfId="0" applyNumberFormat="1" applyFont="1" applyFill="1" applyBorder="1"/>
    <x:xf numFmtId="200" fontId="16" fillId="5" borderId="2" xfId="0" applyNumberFormat="1" applyFont="1" applyFill="1" applyBorder="1"/>
    <x:xf numFmtId="200" fontId="12" fillId="5" borderId="2" xfId="0" applyNumberFormat="1" applyFont="1" applyFill="1" applyBorder="1"/>
    <x:xf numFmtId="0" fontId="10" fillId="2" borderId="1" xfId="0" applyNumberFormat="1" applyFont="1" applyFill="1" applyBorder="1" applyAlignment="1">
      <x:alignment horizontal="center" wrapText="1"/>
    </x:xf>
    <x:xf numFmtId="202" fontId="13" fillId="0" borderId="1" xfId="0" applyNumberFormat="1" applyFont="1" applyFill="1" applyBorder="1"/>
    <x:xf numFmtId="202" fontId="15" fillId="0" borderId="1" xfId="0" applyNumberFormat="1" applyFont="1" applyFill="1" applyBorder="1"/>
    <x:xf numFmtId="200" fontId="15" fillId="0" borderId="1" xfId="0" applyNumberFormat="1" applyFont="1" applyFill="1" applyBorder="1"/>
    <x:xf numFmtId="200" fontId="11" fillId="0" borderId="1" xfId="0" applyNumberFormat="1" applyFont="1" applyFill="1" applyBorder="1"/>
    <x:xf numFmtId="0" fontId="12" fillId="5" borderId="3" xfId="0" applyNumberFormat="1" applyFont="1" applyFill="1" applyBorder="1"/>
    <x:xf numFmtId="202" fontId="12" fillId="5" borderId="3" xfId="0" applyNumberFormat="1" applyFont="1" applyFill="1" applyBorder="1"/>
    <x:xf numFmtId="202" fontId="16" fillId="5" borderId="3" xfId="0" applyNumberFormat="1" applyFont="1" applyFill="1" applyBorder="1"/>
    <x:xf numFmtId="200" fontId="16" fillId="5" borderId="3" xfId="0" applyNumberFormat="1" applyFont="1" applyFill="1" applyBorder="1"/>
    <x:xf numFmtId="200" fontId="12" fillId="5" borderId="3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7" fillId="0" borderId="1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/>
    <x:xf numFmtId="0" fontId="18" fillId="2" borderId="1" xfId="0" applyNumberFormat="1" applyFont="1" applyFill="1" applyBorder="1"/>
    <x:xf numFmtId="0" fontId="18" fillId="2" borderId="0" xfId="0" applyNumberFormat="1" applyFont="1" applyFill="1" applyBorder="1" applyAlignment="1">
      <x:alignment horizontal="center" wrapText="1"/>
    </x:xf>
    <x:xf numFmtId="0" fontId="18" fillId="2" borderId="1" xfId="0" applyNumberFormat="1" applyFont="1" applyFill="1" applyBorder="1" applyAlignment="1">
      <x:alignment horizontal="center" wrapText="1"/>
    </x:xf>
    <x:xf numFmtId="0" fontId="18" fillId="2" borderId="0" xfId="0" applyNumberFormat="1" applyFont="1" applyFill="1" applyBorder="1" applyAlignment="1">
      <x:alignment wrapText="1"/>
    </x:xf>
    <x:xf numFmtId="0" fontId="18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C00000"/>
      </x:font>
    </x:dxf>
    <x:dxf>
      <x:font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a808a816143fd" /><Relationship Type="http://schemas.openxmlformats.org/officeDocument/2006/relationships/theme" Target="/xl/theme/theme1.xml" Id="R55b895fcc03f4fab" /><Relationship Type="http://schemas.openxmlformats.org/officeDocument/2006/relationships/sharedStrings" Target="/xl/sharedStrings.xml" Id="Rc02241280f454702" /><Relationship Type="http://schemas.openxmlformats.org/officeDocument/2006/relationships/worksheet" Target="/xl/worksheets/sheet1.xml" Id="R3938b3adec71482a" /><Relationship Type="http://schemas.openxmlformats.org/officeDocument/2006/relationships/worksheet" Target="/xl/worksheets/sheet2.xml" Id="Ra2e40b4355b34782" /><Relationship Type="http://schemas.openxmlformats.org/officeDocument/2006/relationships/worksheet" Target="/xl/worksheets/sheet3.xml" Id="Rad92c916b3654cde" /><Relationship Type="http://schemas.openxmlformats.org/officeDocument/2006/relationships/worksheet" Target="/xl/worksheets/sheet4.xml" Id="Red82f3ddca844fad" /><Relationship Type="http://schemas.openxmlformats.org/officeDocument/2006/relationships/worksheet" Target="/xl/worksheets/sheet5.xml" Id="Raeae50bcd5fd44b4" /><Relationship Type="http://schemas.openxmlformats.org/officeDocument/2006/relationships/worksheet" Target="/xl/worksheets/sheet6.xml" Id="R1e634225c78a4366" /><Relationship Type="http://schemas.openxmlformats.org/officeDocument/2006/relationships/worksheet" Target="/xl/worksheets/sheet7.xml" Id="R873e6fc8604142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168f35f7564d9b" /><Relationship Type="http://schemas.openxmlformats.org/officeDocument/2006/relationships/chart" Target="/xl/drawings/charts/chart2.xml" Id="Rc99eb28cc4c4446e" /><Relationship Type="http://schemas.openxmlformats.org/officeDocument/2006/relationships/chart" Target="/xl/drawings/charts/chart3.xml" Id="R032fa1f1ef3b4dbf" /><Relationship Type="http://schemas.openxmlformats.org/officeDocument/2006/relationships/chart" Target="/xl/drawings/charts/chart4.xml" Id="R28564993af9946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Budget vs Actual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Budget Revenue</c:v>
          </c:tx>
          <c:cat>
            <c:strRef>
              <c:f>'Dashboard'!$A$8:$A$19</c:f>
              <c:strCache>
                <c:ptCount val="0"/>
              </c:strCache>
            </c:strRef>
          </c:cat>
          <c:val>
            <c:numRef>
              <c:f>'Dashboard'!$B$8:$B$19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Revenue</c:v>
          </c:tx>
          <c:cat>
            <c:strRef>
              <c:f>'Dashboard'!$A$8:$A$19</c:f>
              <c:strCache>
                <c:ptCount val="0"/>
              </c:strCache>
            </c:strRef>
          </c:cat>
          <c:val>
            <c:numRef>
              <c:f>'Dashboard'!$C$8:$C$19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Operating Profit Variance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Opex Budget vs Actual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'Dashboard'!$F$8:$F$11</c:f>
              <c:strCache>
                <c:ptCount val="0"/>
              </c:strCache>
            </c:strRef>
          </c:cat>
          <c:val>
            <c:numRef>
              <c:f>'Dashboard'!$G$8:$G$11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'Dashboard'!$F$8:$F$11</c:f>
              <c:strCache>
                <c:ptCount val="0"/>
              </c:strCache>
            </c:strRef>
          </c:cat>
          <c:val>
            <c:numRef>
              <c:f>'Dashboard'!$H$8:$H$11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Forecast Revenue and Profit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Base Revenue</c:v>
          </c:tx>
          <c:cat>
            <c:strRef>
              <c:f>'Dashboard'!$J$8:$J$13</c:f>
              <c:strCache>
                <c:ptCount val="0"/>
              </c:strCache>
            </c:strRef>
          </c:cat>
          <c:val>
            <c:numRef>
              <c:f>'Dashboard'!$K$8:$K$13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Forecast Profit</c:v>
          </c:tx>
          <c:cat>
            <c:strRef>
              <c:f>'Dashboard'!$J$8:$J$13</c:f>
              <c:strCache>
                <c:ptCount val="0"/>
              </c:strCache>
            </c:strRef>
          </c:cat>
          <c:val>
            <c:numRef>
              <c:f>'Dashboard'!$L$8:$L$13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168f35f7564d9b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9eb28cc4c4446e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2fa1f1ef3b4dbf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564993af9946c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DataTable" displayName="MonthlyDataTable" ref="A1:Z13" headerRowCount="1">
  <x:tableColumns count="26">
    <x:tableColumn id="1" name="Month"/>
    <x:tableColumn id="2" name="Month Name"/>
    <x:tableColumn id="3" name="Revenue Budget ($)"/>
    <x:tableColumn id="4" name="Revenue Actual ($)"/>
    <x:tableColumn id="5" name="Revenue Var ($)"/>
    <x:tableColumn id="6" name="Revenue Var %"/>
    <x:tableColumn id="7" name="COGS Budget ($)"/>
    <x:tableColumn id="8" name="COGS Actual ($)"/>
    <x:tableColumn id="9" name="Gross Profit Budget ($)"/>
    <x:tableColumn id="10" name="Gross Profit Actual ($)"/>
    <x:tableColumn id="11" name="Salaries Budget ($)"/>
    <x:tableColumn id="12" name="Salaries Actual ($)"/>
    <x:tableColumn id="13" name="Marketing Budget ($)"/>
    <x:tableColumn id="14" name="Marketing Actual ($)"/>
    <x:tableColumn id="15" name="Operations Budget ($)"/>
    <x:tableColumn id="16" name="Operations Actual ($)"/>
    <x:tableColumn id="17" name="Admin Budget ($)"/>
    <x:tableColumn id="18" name="Admin Actual ($)"/>
    <x:tableColumn id="19" name="Total Opex Budget ($)"/>
    <x:tableColumn id="20" name="Total Opex Actual ($)"/>
    <x:tableColumn id="21" name="Operating Profit Budget ($)"/>
    <x:tableColumn id="22" name="Operating Profit Actual ($)"/>
    <x:tableColumn id="23" name="Profit Var ($)"/>
    <x:tableColumn id="24" name="Operating Margin Actual %"/>
    <x:tableColumn id="25" name="Revenue Growth Actual %"/>
    <x:tableColumn id="26" name="Driv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7c08422166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888c050ca05439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3.0600004196167" hidden="0" customWidth="1"/>
    <x:col min="6" max="6" width="16" hidden="0" customWidth="1"/>
    <x:col min="7" max="7" width="16" hidden="0" customWidth="1"/>
    <x:col min="8" max="8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24" t="str">
        <x:v>FP&amp;A Dashboard: Budget vs Actual Variance and Forecast</x:v>
      </x:c>
      <x:c r="B1" s="124" t="str"/>
      <x:c r="C1" s="124" t="str"/>
      <x:c r="D1" s="124" t="str"/>
      <x:c r="E1" s="124" t="str"/>
      <x:c r="F1" s="124" t="str"/>
      <x:c r="G1" s="124" t="str"/>
      <x:c r="H1" s="124" t="str"/>
      <x:c r="I1" s="124" t="str"/>
      <x:c r="J1" s="124" t="str"/>
      <x:c r="K1" s="124" t="str"/>
      <x:c r="L1" s="124" t="str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4" t="str">
        <x:v>FY2025 Revenue</x:v>
      </x:c>
      <x:c r="B3" s="74" t="str"/>
      <x:c r="C3" s="74" t="str">
        <x:v>Revenue Variance</x:v>
      </x:c>
      <x:c r="D3" s="74" t="str"/>
      <x:c r="E3" s="74" t="str">
        <x:v>Operating Profit</x:v>
      </x:c>
      <x:c r="F3" s="74" t="str"/>
      <x:c r="G3" s="74" t="str">
        <x:v>Operating Margin</x:v>
      </x:c>
      <x:c r="H3" s="74" t="str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5" t="n">
        <x:f>Monthly_Data!D15</x:f>
        <x:v>14634571</x:v>
      </x:c>
      <x:c r="B4" s="74"/>
      <x:c r="C4" s="75" t="n">
        <x:f>Monthly_Data!E15</x:f>
        <x:v>160101</x:v>
      </x:c>
      <x:c r="D4" s="74"/>
      <x:c r="E4" s="75" t="n">
        <x:f>Monthly_Data!V15</x:f>
        <x:v>4210653</x:v>
      </x:c>
      <x:c r="F4" s="74"/>
      <x:c r="G4" s="76" t="n">
        <x:f>Monthly_Data!X15</x:f>
        <x:v>0.2877196058565707</x:v>
      </x:c>
      <x:c r="H4" s="74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/>
      <x:c r="B6" s="73"/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7" t="str">
        <x:v>Month</x:v>
      </x:c>
      <x:c r="B7" s="77" t="str">
        <x:v>Budget Revenue</x:v>
      </x:c>
      <x:c r="C7" s="77" t="str">
        <x:v>Actual Revenue</x:v>
      </x:c>
      <x:c r="D7" s="77" t="str">
        <x:v>Profit Variance</x:v>
      </x:c>
      <x:c r="E7" s="73"/>
      <x:c r="F7" s="77" t="str">
        <x:v>Expense Category</x:v>
      </x:c>
      <x:c r="G7" s="77" t="str">
        <x:v>Budget</x:v>
      </x:c>
      <x:c r="H7" s="77" t="str">
        <x:v>Actual</x:v>
      </x:c>
      <x:c r="I7" s="73"/>
      <x:c r="J7" s="77" t="str">
        <x:v>Forecast Month</x:v>
      </x:c>
      <x:c r="K7" s="77" t="str">
        <x:v>Base Revenue</x:v>
      </x:c>
      <x:c r="L7" s="77" t="str">
        <x:v>Forecast Profit</x:v>
      </x:c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f>Monthly_Data!B2</x:f>
        <x:v>Jan-2025</x:v>
      </x:c>
      <x:c r="B8" s="78" t="n">
        <x:f>Monthly_Data!C2</x:f>
        <x:v>892400</x:v>
      </x:c>
      <x:c r="C8" s="78" t="n">
        <x:f>Monthly_Data!D2</x:f>
        <x:v>874552</x:v>
      </x:c>
      <x:c r="D8" s="78" t="n">
        <x:f>Monthly_Data!W2</x:f>
        <x:v>-7411</x:v>
      </x:c>
      <x:c r="E8" s="73"/>
      <x:c r="F8" s="73" t="str">
        <x:v>Salaries</x:v>
      </x:c>
      <x:c r="G8" s="78" t="n">
        <x:f>Monthly_Data!K15</x:f>
        <x:v>2451000</x:v>
      </x:c>
      <x:c r="H8" s="78" t="n">
        <x:f>Monthly_Data!L15</x:f>
        <x:v>2508560</x:v>
      </x:c>
      <x:c r="I8" s="73"/>
      <x:c r="J8" s="79" t="n">
        <x:f>Forecast!A4</x:f>
        <x:v>46023</x:v>
      </x:c>
      <x:c r="K8" s="78" t="n">
        <x:f>Forecast!B4</x:f>
        <x:v>1763864.595</x:v>
      </x:c>
      <x:c r="L8" s="78" t="n">
        <x:f>Forecast!G4</x:f>
        <x:v>564436.6704</x:v>
      </x:c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f>Monthly_Data!B3</x:f>
        <x:v>Feb-2025</x:v>
      </x:c>
      <x:c r="B9" s="78" t="n">
        <x:f>Monthly_Data!C3</x:f>
        <x:v>952200</x:v>
      </x:c>
      <x:c r="C9" s="78" t="n">
        <x:f>Monthly_Data!D3</x:f>
        <x:v>961722</x:v>
      </x:c>
      <x:c r="D9" s="78" t="n">
        <x:f>Monthly_Data!W3</x:f>
        <x:v>8295</x:v>
      </x:c>
      <x:c r="E9" s="73"/>
      <x:c r="F9" s="73" t="str">
        <x:v>Marketing</x:v>
      </x:c>
      <x:c r="G9" s="78" t="n">
        <x:f>Monthly_Data!M15</x:f>
        <x:v>1159200</x:v>
      </x:c>
      <x:c r="H9" s="78" t="n">
        <x:f>Monthly_Data!N15</x:f>
        <x:v>1220248</x:v>
      </x:c>
      <x:c r="I9" s="73"/>
      <x:c r="J9" s="79" t="n">
        <x:f>Forecast!A5</x:f>
        <x:v>46054</x:v>
      </x:c>
      <x:c r="K9" s="78" t="n">
        <x:f>Forecast!B5</x:f>
        <x:v>1825599.8558249997</x:v>
      </x:c>
      <x:c r="L9" s="78" t="n">
        <x:f>Forecast!G5</x:f>
        <x:v>584191.953864</x:v>
      </x:c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f>Monthly_Data!B4</x:f>
        <x:v>Mar-2025</x:v>
      </x:c>
      <x:c r="B10" s="78" t="n">
        <x:f>Monthly_Data!C4</x:f>
        <x:v>1015093</x:v>
      </x:c>
      <x:c r="C10" s="78" t="n">
        <x:f>Monthly_Data!D4</x:f>
        <x:v>1045546</x:v>
      </x:c>
      <x:c r="D10" s="78" t="n">
        <x:f>Monthly_Data!W4</x:f>
        <x:v>9187</x:v>
      </x:c>
      <x:c r="E10" s="73"/>
      <x:c r="F10" s="73" t="str">
        <x:v>Operations</x:v>
      </x:c>
      <x:c r="G10" s="78" t="n">
        <x:f>Monthly_Data!O15</x:f>
        <x:v>806700</x:v>
      </x:c>
      <x:c r="H10" s="78" t="n">
        <x:f>Monthly_Data!P15</x:f>
        <x:v>826800</x:v>
      </x:c>
      <x:c r="I10" s="73"/>
      <x:c r="J10" s="79" t="n">
        <x:f>Forecast!A6</x:f>
        <x:v>46082</x:v>
      </x:c>
      <x:c r="K10" s="78" t="n">
        <x:f>Forecast!B6</x:f>
        <x:v>1889495.8507788745</x:v>
      </x:c>
      <x:c r="L10" s="78" t="n">
        <x:f>Forecast!G6</x:f>
        <x:v>604638.6722492399</x:v>
      </x:c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f>Monthly_Data!B5</x:f>
        <x:v>Apr-2025</x:v>
      </x:c>
      <x:c r="B11" s="78" t="n">
        <x:f>Monthly_Data!C5</x:f>
        <x:v>1040421</x:v>
      </x:c>
      <x:c r="C11" s="78" t="n">
        <x:f>Monthly_Data!D5</x:f>
        <x:v>1030017</x:v>
      </x:c>
      <x:c r="D11" s="78" t="n">
        <x:f>Monthly_Data!W5</x:f>
        <x:v>-15456</x:v>
      </x:c>
      <x:c r="E11" s="73"/>
      <x:c r="F11" s="73" t="str">
        <x:v>Admin</x:v>
      </x:c>
      <x:c r="G11" s="78" t="n">
        <x:f>Monthly_Data!Q15</x:f>
        <x:v>531600</x:v>
      </x:c>
      <x:c r="H11" s="78" t="n">
        <x:f>Monthly_Data!R15</x:f>
        <x:v>539266</x:v>
      </x:c>
      <x:c r="I11" s="73"/>
      <x:c r="J11" s="79" t="n">
        <x:f>Forecast!A7</x:f>
        <x:v>46113</x:v>
      </x:c>
      <x:c r="K11" s="78" t="n">
        <x:f>Forecast!B7</x:f>
        <x:v>1955628.205556135</x:v>
      </x:c>
      <x:c r="L11" s="78" t="n">
        <x:f>Forecast!G7</x:f>
        <x:v>625801.0257779632</x:v>
      </x:c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f>Monthly_Data!B6</x:f>
        <x:v>May-2025</x:v>
      </x:c>
      <x:c r="B12" s="78" t="n">
        <x:f>Monthly_Data!C6</x:f>
        <x:v>1108507</x:v>
      </x:c>
      <x:c r="C12" s="78" t="n">
        <x:f>Monthly_Data!D6</x:f>
        <x:v>1130677</x:v>
      </x:c>
      <x:c r="D12" s="78" t="n">
        <x:f>Monthly_Data!W6</x:f>
        <x:v>-3399</x:v>
      </x:c>
      <x:c r="E12" s="73"/>
      <x:c r="F12" s="73"/>
      <x:c r="G12" s="73"/>
      <x:c r="H12" s="73"/>
      <x:c r="I12" s="73"/>
      <x:c r="J12" s="79" t="n">
        <x:f>Forecast!A8</x:f>
        <x:v>46143</x:v>
      </x:c>
      <x:c r="K12" s="78" t="n">
        <x:f>Forecast!B8</x:f>
        <x:v>2024075.1927505995</x:v>
      </x:c>
      <x:c r="L12" s="78" t="n">
        <x:f>Forecast!G8</x:f>
        <x:v>647704.0616801919</x:v>
      </x:c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f>Monthly_Data!B7</x:f>
        <x:v>Jun-2025</x:v>
      </x:c>
      <x:c r="B13" s="78" t="n">
        <x:f>Monthly_Data!C7</x:f>
        <x:v>1180085</x:v>
      </x:c>
      <x:c r="C13" s="78" t="n">
        <x:f>Monthly_Data!D7</x:f>
        <x:v>1162384</x:v>
      </x:c>
      <x:c r="D13" s="78" t="n">
        <x:f>Monthly_Data!W7</x:f>
        <x:v>-39940</x:v>
      </x:c>
      <x:c r="E13" s="73"/>
      <x:c r="F13" s="73"/>
      <x:c r="G13" s="73"/>
      <x:c r="H13" s="73"/>
      <x:c r="I13" s="73"/>
      <x:c r="J13" s="79" t="n">
        <x:f>Forecast!A9</x:f>
        <x:v>46174</x:v>
      </x:c>
      <x:c r="K13" s="78" t="n">
        <x:f>Forecast!B9</x:f>
        <x:v>2094917.8244968704</x:v>
      </x:c>
      <x:c r="L13" s="78" t="n">
        <x:f>Forecast!G9</x:f>
        <x:v>670373.7038389986</x:v>
      </x:c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f>Monthly_Data!B8</x:f>
        <x:v>Jul-2025</x:v>
      </x:c>
      <x:c r="B14" s="78" t="n">
        <x:f>Monthly_Data!C8</x:f>
        <x:v>1176151</x:v>
      </x:c>
      <x:c r="C14" s="78" t="n">
        <x:f>Monthly_Data!D8</x:f>
        <x:v>1176151</x:v>
      </x:c>
      <x:c r="D14" s="78" t="n">
        <x:f>Monthly_Data!W8</x:f>
        <x:v>-2773</x:v>
      </x:c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f>Monthly_Data!B9</x:f>
        <x:v>Aug-2025</x:v>
      </x:c>
      <x:c r="B15" s="78" t="n">
        <x:f>Monthly_Data!C9</x:f>
        <x:v>1240727</x:v>
      </x:c>
      <x:c r="C15" s="78" t="n">
        <x:f>Monthly_Data!D9</x:f>
        <x:v>1271745</x:v>
      </x:c>
      <x:c r="D15" s="78" t="n">
        <x:f>Monthly_Data!W9</x:f>
        <x:v>24825</x:v>
      </x:c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f>Monthly_Data!B10</x:f>
        <x:v>Sep-2025</x:v>
      </x:c>
      <x:c r="B16" s="78" t="n">
        <x:f>Monthly_Data!C10</x:f>
        <x:v>1320496</x:v>
      </x:c>
      <x:c r="C16" s="78" t="n">
        <x:f>Monthly_Data!D10</x:f>
        <x:v>1294086</x:v>
      </x:c>
      <x:c r="D16" s="78" t="n">
        <x:f>Monthly_Data!W10</x:f>
        <x:v>-21912</x:v>
      </x:c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 t="str">
        <x:f>Monthly_Data!B11</x:f>
        <x:v>Oct-2025</x:v>
      </x:c>
      <x:c r="B17" s="78" t="n">
        <x:f>Monthly_Data!C11</x:f>
        <x:v>1404329</x:v>
      </x:c>
      <x:c r="C17" s="78" t="n">
        <x:f>Monthly_Data!D11</x:f>
        <x:v>1425394</x:v>
      </x:c>
      <x:c r="D17" s="78" t="n">
        <x:f>Monthly_Data!W11</x:f>
        <x:v>23253</x:v>
      </x:c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 t="str">
        <x:f>Monthly_Data!B12</x:f>
        <x:v>Nov-2025</x:v>
      </x:c>
      <x:c r="B18" s="78" t="n">
        <x:f>Monthly_Data!C12</x:f>
        <x:v>1505391</x:v>
      </x:c>
      <x:c r="C18" s="78" t="n">
        <x:f>Monthly_Data!D12</x:f>
        <x:v>1558080</x:v>
      </x:c>
      <x:c r="D18" s="78" t="n">
        <x:f>Monthly_Data!W12</x:f>
        <x:v>30381</x:v>
      </x:c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 t="str">
        <x:f>Monthly_Data!B13</x:f>
        <x:v>Dec-2025</x:v>
      </x:c>
      <x:c r="B19" s="78" t="n">
        <x:f>Monthly_Data!C13</x:f>
        <x:v>1638670</x:v>
      </x:c>
      <x:c r="C19" s="78" t="n">
        <x:f>Monthly_Data!D13</x:f>
        <x:v>1704217</x:v>
      </x:c>
      <x:c r="D19" s="78" t="n">
        <x:f>Monthly_Data!W13</x:f>
        <x:v>34261</x:v>
      </x:c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80" t="str">
        <x:v>Executive Interpretation</x:v>
      </x:c>
      <x:c r="B22" s="80" t="str"/>
      <x:c r="C22" s="80" t="str"/>
      <x:c r="D22" s="80" t="str"/>
      <x:c r="E22" s="80" t="str"/>
      <x:c r="F22" s="80" t="str"/>
      <x:c r="G22" s="80" t="str"/>
      <x:c r="H22" s="80" t="str"/>
      <x:c r="I22" s="80" t="str"/>
      <x:c r="J22" s="80" t="str"/>
      <x:c r="K22" s="80" t="str"/>
      <x:c r="L22" s="80" t="str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81" t="str">
        <x:v>1</x:v>
      </x:c>
      <x:c r="B23" s="81" t="str">
        <x:v>Actual revenue finished above budget, supported by Q4 demand and upsell momentum.</x:v>
      </x:c>
      <x:c r="C23" s="81" t="str"/>
      <x:c r="D23" s="81" t="str"/>
      <x:c r="E23" s="81" t="str"/>
      <x:c r="F23" s="81" t="str"/>
      <x:c r="G23" s="81" t="str"/>
      <x:c r="H23" s="81" t="str"/>
      <x:c r="I23" s="81" t="str"/>
      <x:c r="J23" s="81" t="str"/>
      <x:c r="K23" s="81" t="str"/>
      <x:c r="L23" s="81" t="str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81" t="str">
        <x:v>2</x:v>
      </x:c>
      <x:c r="B24" s="81" t="str">
        <x:v>Profit variance was positive for the year, but June and September need spend discipline review.</x:v>
      </x:c>
      <x:c r="C24" s="81" t="str"/>
      <x:c r="D24" s="81" t="str"/>
      <x:c r="E24" s="81" t="str"/>
      <x:c r="F24" s="81" t="str"/>
      <x:c r="G24" s="81" t="str"/>
      <x:c r="H24" s="81" t="str"/>
      <x:c r="I24" s="81" t="str"/>
      <x:c r="J24" s="81" t="str"/>
      <x:c r="K24" s="81" t="str"/>
      <x:c r="L24" s="81" t="str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81" t="str">
        <x:v>3</x:v>
      </x:c>
      <x:c r="B25" s="81" t="str">
        <x:v>Marketing and salaries are the key cost areas to monitor because they are variable and management-controllable.</x:v>
      </x:c>
      <x:c r="C25" s="81" t="str"/>
      <x:c r="D25" s="81" t="str"/>
      <x:c r="E25" s="81" t="str"/>
      <x:c r="F25" s="81" t="str"/>
      <x:c r="G25" s="81" t="str"/>
      <x:c r="H25" s="81" t="str"/>
      <x:c r="I25" s="81" t="str"/>
      <x:c r="J25" s="81" t="str"/>
      <x:c r="K25" s="81" t="str"/>
      <x:c r="L25" s="81" t="str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81" t="str">
        <x:v>4</x:v>
      </x:c>
      <x:c r="B26" s="81" t="str">
        <x:v>Recommendation: keep high-ROI campaigns, pause low-converting spend, and review hiring pace before scaling expenses.</x:v>
      </x:c>
      <x:c r="C26" s="81" t="str"/>
      <x:c r="D26" s="81" t="str"/>
      <x:c r="E26" s="81" t="str"/>
      <x:c r="F26" s="81" t="str"/>
      <x:c r="G26" s="81" t="str"/>
      <x:c r="H26" s="81" t="str"/>
      <x:c r="I26" s="81" t="str"/>
      <x:c r="J26" s="81" t="str"/>
      <x:c r="K26" s="81" t="str"/>
      <x:c r="L26" s="81" t="str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  <x:drawing xmlns:r="http://schemas.openxmlformats.org/officeDocument/2006/relationships" r:id="R907c084221664067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2" hidden="0" customWidth="1"/>
    <x:col min="4" max="4" width="16" hidden="0" customWidth="1"/>
  </x:cols>
  <x:sheetData>
    <x:row r="1">
      <x:c r="A1" s="126" t="str">
        <x:v>Model Assumptions</x:v>
      </x:c>
      <x:c r="B1" s="126" t="str"/>
      <x:c r="C1" s="126" t="str"/>
      <x:c r="D1" s="126" t="str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92" t="str">
        <x:v>Company / Business Unit</x:v>
      </x:c>
      <x:c r="B2" s="93" t="str">
        <x:v>AlphaMart SaaS Division</x:v>
      </x:c>
      <x:c r="C2" s="73" t="str">
        <x:v>Synthetic portfolio case</x:v>
      </x:c>
      <x:c r="D2" s="73" t="str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92" t="str">
        <x:v>Currency</x:v>
      </x:c>
      <x:c r="B3" s="93" t="str">
        <x:v>USD</x:v>
      </x:c>
      <x:c r="C3" s="73" t="str">
        <x:v>All values shown in $</x:v>
      </x:c>
      <x:c r="D3" s="73" t="str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92" t="str">
        <x:v>Historical Period</x:v>
      </x:c>
      <x:c r="B4" s="93" t="str">
        <x:v>Jan-2025 to Dec-2025</x:v>
      </x:c>
      <x:c r="C4" s="73" t="str"/>
      <x:c r="D4" s="73" t="str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92" t="str">
        <x:v>Forecast Period</x:v>
      </x:c>
      <x:c r="B5" s="93" t="str">
        <x:v>Jan-2026 to Jun-2026</x:v>
      </x:c>
      <x:c r="C5" s="73" t="str"/>
      <x:c r="D5" s="73" t="str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92" t="str">
        <x:v>Base Forecast Monthly Growth</x:v>
      </x:c>
      <x:c r="B6" s="94" t="n">
        <x:v>0.035</x:v>
      </x:c>
      <x:c r="C6" s="73" t="str">
        <x:v>Editable scenario input</x:v>
      </x:c>
      <x:c r="D6" s="73" t="str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92" t="str">
        <x:v>Best Case Monthly Growth</x:v>
      </x:c>
      <x:c r="B7" s="94" t="n">
        <x:v>0.055</x:v>
      </x:c>
      <x:c r="C7" s="73" t="str">
        <x:v>Editable scenario input</x:v>
      </x:c>
      <x:c r="D7" s="73" t="str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92" t="str">
        <x:v>Worst Case Monthly Growth</x:v>
      </x:c>
      <x:c r="B8" s="94" t="n">
        <x:v>0.015</x:v>
      </x:c>
      <x:c r="C8" s="73" t="str">
        <x:v>Editable scenario input</x:v>
      </x:c>
      <x:c r="D8" s="73" t="str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92" t="str">
        <x:v>Forecast COGS % of Revenue</x:v>
      </x:c>
      <x:c r="B9" s="94" t="n">
        <x:v>0.365</x:v>
      </x:c>
      <x:c r="C9" s="73" t="str">
        <x:v>Editable assumption</x:v>
      </x:c>
      <x:c r="D9" s="73" t="str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92" t="str">
        <x:v>Forecast Opex % of Revenue</x:v>
      </x:c>
      <x:c r="B10" s="94" t="n">
        <x:v>0.315</x:v>
      </x:c>
      <x:c r="C10" s="73" t="str">
        <x:v>Editable assumption</x:v>
      </x:c>
      <x:c r="D10" s="73" t="str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92" t="str">
        <x:v>Target Operating Margin</x:v>
      </x:c>
      <x:c r="B11" s="94" t="n">
        <x:v>0.3</x:v>
      </x:c>
      <x:c r="C11" s="73" t="str">
        <x:v>Editable target KPI</x:v>
      </x:c>
      <x:c r="D11" s="73" t="str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92" t="str">
        <x:v>Source Note</x:v>
      </x:c>
      <x:c r="B12" s="93" t="str">
        <x:v>Synthetic dataset generated for educational portfolio use.</x:v>
      </x:c>
      <x:c r="C12" s="73" t="str"/>
      <x:c r="D12" s="73" t="str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.880000114440918" hidden="0" customWidth="1"/>
    <x:col min="4" max="4" width="15.34000015258789" hidden="0" customWidth="1"/>
    <x:col min="5" max="5" width="12.920000076293945" hidden="0" customWidth="1"/>
    <x:col min="6" max="6" width="12.109999656677246" hidden="0" customWidth="1"/>
    <x:col min="7" max="7" width="13.460000038146973" hidden="0" customWidth="1"/>
    <x:col min="8" max="8" width="12.789999961853027" hidden="0" customWidth="1"/>
    <x:col min="9" max="9" width="18.440000534057617" hidden="0" customWidth="1"/>
    <x:col min="10" max="10" width="17.899999618530273" hidden="0" customWidth="1"/>
    <x:col min="11" max="11" width="15.210000038146973" hidden="0" customWidth="1"/>
    <x:col min="12" max="12" width="14.670000076293945" hidden="0" customWidth="1"/>
    <x:col min="13" max="13" width="17.229999542236328" hidden="0" customWidth="1"/>
    <x:col min="14" max="14" width="16.690000534057617" hidden="0" customWidth="1"/>
    <x:col min="15" max="15" width="17.899999618530273" hidden="0" customWidth="1"/>
    <x:col min="16" max="16" width="17.360000610351562" hidden="0" customWidth="1"/>
    <x:col min="17" max="17" width="14.270000457763672" hidden="0" customWidth="1"/>
    <x:col min="18" max="18" width="13.729999542236328" hidden="0" customWidth="1"/>
    <x:col min="19" max="19" width="17.5" hidden="0" customWidth="1"/>
    <x:col min="20" max="20" width="16.959999084472656" hidden="0" customWidth="1"/>
    <x:col min="21" max="21" width="22.06999969482422" hidden="0" customWidth="1"/>
    <x:col min="22" max="22" width="21.399999618530273" hidden="0" customWidth="1"/>
    <x:col min="23" max="23" width="10.359999656677246" hidden="0" customWidth="1"/>
    <x:col min="24" max="24" width="21.940000534057617" hidden="0" customWidth="1"/>
    <x:col min="25" max="25" width="21.270000457763672" hidden="0" customWidth="1"/>
    <x:col min="26" max="26" width="36" hidden="0" customWidth="1"/>
  </x:cols>
  <x:sheetData>
    <x:row r="1">
      <x:c r="A1" s="128" t="str">
        <x:v>Month</x:v>
      </x:c>
      <x:c r="B1" s="128" t="str">
        <x:v>Month Name</x:v>
      </x:c>
      <x:c r="C1" s="128" t="str">
        <x:v>Revenue Budget ($)</x:v>
      </x:c>
      <x:c r="D1" s="128" t="str">
        <x:v>Revenue Actual ($)</x:v>
      </x:c>
      <x:c r="E1" s="128" t="str">
        <x:v>Revenue Var ($)</x:v>
      </x:c>
      <x:c r="F1" s="128" t="str">
        <x:v>Revenue Var %</x:v>
      </x:c>
      <x:c r="G1" s="128" t="str">
        <x:v>COGS Budget ($)</x:v>
      </x:c>
      <x:c r="H1" s="128" t="str">
        <x:v>COGS Actual ($)</x:v>
      </x:c>
      <x:c r="I1" s="128" t="str">
        <x:v>Gross Profit Budget ($)</x:v>
      </x:c>
      <x:c r="J1" s="128" t="str">
        <x:v>Gross Profit Actual ($)</x:v>
      </x:c>
      <x:c r="K1" s="128" t="str">
        <x:v>Salaries Budget ($)</x:v>
      </x:c>
      <x:c r="L1" s="128" t="str">
        <x:v>Salaries Actual ($)</x:v>
      </x:c>
      <x:c r="M1" s="128" t="str">
        <x:v>Marketing Budget ($)</x:v>
      </x:c>
      <x:c r="N1" s="128" t="str">
        <x:v>Marketing Actual ($)</x:v>
      </x:c>
      <x:c r="O1" s="128" t="str">
        <x:v>Operations Budget ($)</x:v>
      </x:c>
      <x:c r="P1" s="128" t="str">
        <x:v>Operations Actual ($)</x:v>
      </x:c>
      <x:c r="Q1" s="128" t="str">
        <x:v>Admin Budget ($)</x:v>
      </x:c>
      <x:c r="R1" s="128" t="str">
        <x:v>Admin Actual ($)</x:v>
      </x:c>
      <x:c r="S1" s="128" t="str">
        <x:v>Total Opex Budget ($)</x:v>
      </x:c>
      <x:c r="T1" s="128" t="str">
        <x:v>Total Opex Actual ($)</x:v>
      </x:c>
      <x:c r="U1" s="128" t="str">
        <x:v>Operating Profit Budget ($)</x:v>
      </x:c>
      <x:c r="V1" s="128" t="str">
        <x:v>Operating Profit Actual ($)</x:v>
      </x:c>
      <x:c r="W1" s="128" t="str">
        <x:v>Profit Var ($)</x:v>
      </x:c>
      <x:c r="X1" s="128" t="str">
        <x:v>Operating Margin Actual %</x:v>
      </x:c>
      <x:c r="Y1" s="128" t="str">
        <x:v>Revenue Growth Actual %</x:v>
      </x:c>
      <x:c r="Z1" s="128" t="str">
        <x:v>Driver Notes</x:v>
      </x:c>
    </x:row>
    <x:row r="2">
      <x:c r="A2" s="79" t="n">
        <x:v>45658</x:v>
      </x:c>
      <x:c r="B2" s="73" t="str">
        <x:v>Jan-2025</x:v>
      </x:c>
      <x:c r="C2" s="99" t="n">
        <x:v>892400</x:v>
      </x:c>
      <x:c r="D2" s="99" t="n">
        <x:v>874552</x:v>
      </x:c>
      <x:c r="E2" s="100" t="n">
        <x:f>D2-C2</x:f>
        <x:v>-17848</x:v>
      </x:c>
      <x:c r="F2" s="101" t="n">
        <x:f>E2/C2</x:f>
        <x:v>-0.02</x:v>
      </x:c>
      <x:c r="G2" s="99" t="n">
        <x:v>330188</x:v>
      </x:c>
      <x:c r="H2" s="99" t="n">
        <x:v>319211</x:v>
      </x:c>
      <x:c r="I2" s="78" t="n">
        <x:f>C2-G2</x:f>
        <x:v>562212</x:v>
      </x:c>
      <x:c r="J2" s="78" t="n">
        <x:f>D2-H2</x:f>
        <x:v>555341</x:v>
      </x:c>
      <x:c r="K2" s="99" t="n">
        <x:v>185000</x:v>
      </x:c>
      <x:c r="L2" s="99" t="n">
        <x:v>186850</x:v>
      </x:c>
      <x:c r="M2" s="99" t="n">
        <x:v>85000</x:v>
      </x:c>
      <x:c r="N2" s="99" t="n">
        <x:v>82450</x:v>
      </x:c>
      <x:c r="O2" s="99" t="n">
        <x:v>62000</x:v>
      </x:c>
      <x:c r="P2" s="99" t="n">
        <x:v>63240</x:v>
      </x:c>
      <x:c r="Q2" s="99" t="n">
        <x:v>41000</x:v>
      </x:c>
      <x:c r="R2" s="99" t="n">
        <x:v>41000</x:v>
      </x:c>
      <x:c r="S2" s="78" t="n">
        <x:f>SUM(K2,M2,O2,Q2)</x:f>
        <x:v>373000</x:v>
      </x:c>
      <x:c r="T2" s="78" t="n">
        <x:f>SUM(L2,N2,P2,R2)</x:f>
        <x:v>373540</x:v>
      </x:c>
      <x:c r="U2" s="78" t="n">
        <x:f>I2-S2</x:f>
        <x:v>189212</x:v>
      </x:c>
      <x:c r="V2" s="78" t="n">
        <x:f>J2-T2</x:f>
        <x:v>181801</x:v>
      </x:c>
      <x:c r="W2" s="78" t="n">
        <x:f>V2-U2</x:f>
        <x:v>-7411</x:v>
      </x:c>
      <x:c r="X2" s="102" t="n">
        <x:f>V2/D2</x:f>
        <x:v>0.20787900547937688</x:v>
      </x:c>
      <x:c r="Y2" s="102"/>
      <x:c r="Z2" s="81" t="str">
        <x:v>Soft start after year-end campaigns</x:v>
      </x:c>
    </x:row>
    <x:row r="3">
      <x:c r="A3" s="79" t="n">
        <x:v>45689</x:v>
      </x:c>
      <x:c r="B3" s="73" t="str">
        <x:v>Feb-2025</x:v>
      </x:c>
      <x:c r="C3" s="99" t="n">
        <x:v>952200</x:v>
      </x:c>
      <x:c r="D3" s="99" t="n">
        <x:v>961722</x:v>
      </x:c>
      <x:c r="E3" s="100" t="n">
        <x:f>D3-C3</x:f>
        <x:v>9522</x:v>
      </x:c>
      <x:c r="F3" s="101" t="n">
        <x:f>E3/C3</x:f>
        <x:v>0.01</x:v>
      </x:c>
      <x:c r="G3" s="99" t="n">
        <x:v>356320</x:v>
      </x:c>
      <x:c r="H3" s="99" t="n">
        <x:v>355639</x:v>
      </x:c>
      <x:c r="I3" s="78" t="n">
        <x:f>C3-G3</x:f>
        <x:v>595880</x:v>
      </x:c>
      <x:c r="J3" s="78" t="n">
        <x:f>D3-H3</x:f>
        <x:v>606083</x:v>
      </x:c>
      <x:c r="K3" s="99" t="n">
        <x:v>188500</x:v>
      </x:c>
      <x:c r="L3" s="99" t="n">
        <x:v>188500</x:v>
      </x:c>
      <x:c r="M3" s="99" t="n">
        <x:v>86200</x:v>
      </x:c>
      <x:c r="N3" s="99" t="n">
        <x:v>87062</x:v>
      </x:c>
      <x:c r="O3" s="99" t="n">
        <x:v>62950</x:v>
      </x:c>
      <x:c r="P3" s="99" t="n">
        <x:v>63580</x:v>
      </x:c>
      <x:c r="Q3" s="99" t="n">
        <x:v>41600</x:v>
      </x:c>
      <x:c r="R3" s="99" t="n">
        <x:v>42016</x:v>
      </x:c>
      <x:c r="S3" s="78" t="n">
        <x:f>SUM(K3,M3,O3,Q3)</x:f>
        <x:v>379250</x:v>
      </x:c>
      <x:c r="T3" s="78" t="n">
        <x:f>SUM(L3,N3,P3,R3)</x:f>
        <x:v>381158</x:v>
      </x:c>
      <x:c r="U3" s="78" t="n">
        <x:f>I3-S3</x:f>
        <x:v>216630</x:v>
      </x:c>
      <x:c r="V3" s="78" t="n">
        <x:f>J3-T3</x:f>
        <x:v>224925</x:v>
      </x:c>
      <x:c r="W3" s="78" t="n">
        <x:f>V3-U3</x:f>
        <x:v>8295</x:v>
      </x:c>
      <x:c r="X3" s="102" t="n">
        <x:f>V3/D3</x:f>
        <x:v>0.2338773574900023</x:v>
      </x:c>
      <x:c r="Y3" s="102" t="n">
        <x:f>D3/D2-1</x:f>
        <x:v>0.09967389017462658</x:v>
      </x:c>
      <x:c r="Z3" s="81" t="str">
        <x:v>Pipeline conversion improved</x:v>
      </x:c>
    </x:row>
    <x:row r="4">
      <x:c r="A4" s="79" t="n">
        <x:v>45717</x:v>
      </x:c>
      <x:c r="B4" s="73" t="str">
        <x:v>Mar-2025</x:v>
      </x:c>
      <x:c r="C4" s="99" t="n">
        <x:v>1015093</x:v>
      </x:c>
      <x:c r="D4" s="99" t="n">
        <x:v>1045546</x:v>
      </x:c>
      <x:c r="E4" s="100" t="n">
        <x:f>D4-C4</x:f>
        <x:v>30453</x:v>
      </x:c>
      <x:c r="F4" s="101" t="n">
        <x:f>E4/C4</x:f>
        <x:v>0.030000206877596438</x:v>
      </x:c>
      <x:c r="G4" s="99" t="n">
        <x:v>380199</x:v>
      </x:c>
      <x:c r="H4" s="99" t="n">
        <x:v>390422</x:v>
      </x:c>
      <x:c r="I4" s="78" t="n">
        <x:f>C4-G4</x:f>
        <x:v>634894</x:v>
      </x:c>
      <x:c r="J4" s="78" t="n">
        <x:f>D4-H4</x:f>
        <x:v>655124</x:v>
      </x:c>
      <x:c r="K4" s="99" t="n">
        <x:v>192000</x:v>
      </x:c>
      <x:c r="L4" s="99" t="n">
        <x:v>194880</x:v>
      </x:c>
      <x:c r="M4" s="99" t="n">
        <x:v>99400</x:v>
      </x:c>
      <x:c r="N4" s="99" t="n">
        <x:v>107352</x:v>
      </x:c>
      <x:c r="O4" s="99" t="n">
        <x:v>63900</x:v>
      </x:c>
      <x:c r="P4" s="99" t="n">
        <x:v>63900</x:v>
      </x:c>
      <x:c r="Q4" s="99" t="n">
        <x:v>42200</x:v>
      </x:c>
      <x:c r="R4" s="99" t="n">
        <x:v>42411</x:v>
      </x:c>
      <x:c r="S4" s="78" t="n">
        <x:f>SUM(K4,M4,O4,Q4)</x:f>
        <x:v>397500</x:v>
      </x:c>
      <x:c r="T4" s="78" t="n">
        <x:f>SUM(L4,N4,P4,R4)</x:f>
        <x:v>408543</x:v>
      </x:c>
      <x:c r="U4" s="78" t="n">
        <x:f>I4-S4</x:f>
        <x:v>237394</x:v>
      </x:c>
      <x:c r="V4" s="78" t="n">
        <x:f>J4-T4</x:f>
        <x:v>246581</x:v>
      </x:c>
      <x:c r="W4" s="78" t="n">
        <x:f>V4-U4</x:f>
        <x:v>9187</x:v>
      </x:c>
      <x:c r="X4" s="102" t="n">
        <x:f>V4/D4</x:f>
        <x:v>0.23583945613105498</x:v>
      </x:c>
      <x:c r="Y4" s="102" t="n">
        <x:f>D4/D3-1</x:f>
        <x:v>0.0871603228375768</x:v>
      </x:c>
      <x:c r="Z4" s="81" t="str">
        <x:v>Upsell campaign lifted actual revenue</x:v>
      </x:c>
    </x:row>
    <x:row r="5">
      <x:c r="A5" s="79" t="n">
        <x:v>45748</x:v>
      </x:c>
      <x:c r="B5" s="73" t="str">
        <x:v>Apr-2025</x:v>
      </x:c>
      <x:c r="C5" s="99" t="n">
        <x:v>1040421</x:v>
      </x:c>
      <x:c r="D5" s="99" t="n">
        <x:v>1030017</x:v>
      </x:c>
      <x:c r="E5" s="100" t="n">
        <x:f>D5-C5</x:f>
        <x:v>-10404</x:v>
      </x:c>
      <x:c r="F5" s="101" t="n">
        <x:f>E5/C5</x:f>
        <x:v>-0.009999798158630016</x:v>
      </x:c>
      <x:c r="G5" s="99" t="n">
        <x:v>385690</x:v>
      </x:c>
      <x:c r="H5" s="99" t="n">
        <x:v>386230</x:v>
      </x:c>
      <x:c r="I5" s="78" t="n">
        <x:f>C5-G5</x:f>
        <x:v>654731</x:v>
      </x:c>
      <x:c r="J5" s="78" t="n">
        <x:f>D5-H5</x:f>
        <x:v>643787</x:v>
      </x:c>
      <x:c r="K5" s="99" t="n">
        <x:v>195500</x:v>
      </x:c>
      <x:c r="L5" s="99" t="n">
        <x:v>199410</x:v>
      </x:c>
      <x:c r="M5" s="99" t="n">
        <x:v>88600</x:v>
      </x:c>
      <x:c r="N5" s="99" t="n">
        <x:v>86828</x:v>
      </x:c>
      <x:c r="O5" s="99" t="n">
        <x:v>64850</x:v>
      </x:c>
      <x:c r="P5" s="99" t="n">
        <x:v>66796</x:v>
      </x:c>
      <x:c r="Q5" s="99" t="n">
        <x:v>42800</x:v>
      </x:c>
      <x:c r="R5" s="99" t="n">
        <x:v>43228</x:v>
      </x:c>
      <x:c r="S5" s="78" t="n">
        <x:f>SUM(K5,M5,O5,Q5)</x:f>
        <x:v>391750</x:v>
      </x:c>
      <x:c r="T5" s="78" t="n">
        <x:f>SUM(L5,N5,P5,R5)</x:f>
        <x:v>396262</x:v>
      </x:c>
      <x:c r="U5" s="78" t="n">
        <x:f>I5-S5</x:f>
        <x:v>262981</x:v>
      </x:c>
      <x:c r="V5" s="78" t="n">
        <x:f>J5-T5</x:f>
        <x:v>247525</x:v>
      </x:c>
      <x:c r="W5" s="78" t="n">
        <x:f>V5-U5</x:f>
        <x:v>-15456</x:v>
      </x:c>
      <x:c r="X5" s="102" t="n">
        <x:f>V5/D5</x:f>
        <x:v>0.2403115676731549</x:v>
      </x:c>
      <x:c r="Y5" s="102" t="n">
        <x:f>D5/D4-1</x:f>
        <x:v>-0.014852526813741385</x:v>
      </x:c>
      <x:c r="Z5" s="81" t="str">
        <x:v>Enterprise deal slipped to next month</x:v>
      </x:c>
    </x:row>
    <x:row r="6">
      <x:c r="A6" s="79" t="n">
        <x:v>45778</x:v>
      </x:c>
      <x:c r="B6" s="73" t="str">
        <x:v>May-2025</x:v>
      </x:c>
      <x:c r="C6" s="99" t="n">
        <x:v>1108507</x:v>
      </x:c>
      <x:c r="D6" s="99" t="n">
        <x:v>1130677</x:v>
      </x:c>
      <x:c r="E6" s="100" t="n">
        <x:f>D6-C6</x:f>
        <x:v>22170</x:v>
      </x:c>
      <x:c r="F6" s="101" t="n">
        <x:f>E6/C6</x:f>
        <x:v>0.019999873704000064</x:v>
      </x:c>
      <x:c r="G6" s="99" t="n">
        <x:v>405953</x:v>
      </x:c>
      <x:c r="H6" s="99" t="n">
        <x:v>422978</x:v>
      </x:c>
      <x:c r="I6" s="78" t="n">
        <x:f>C6-G6</x:f>
        <x:v>702554</x:v>
      </x:c>
      <x:c r="J6" s="78" t="n">
        <x:f>D6-H6</x:f>
        <x:v>707699</x:v>
      </x:c>
      <x:c r="K6" s="99" t="n">
        <x:v>199000</x:v>
      </x:c>
      <x:c r="L6" s="99" t="n">
        <x:v>201985</x:v>
      </x:c>
      <x:c r="M6" s="99" t="n">
        <x:v>89800</x:v>
      </x:c>
      <x:c r="N6" s="99" t="n">
        <x:v>93392</x:v>
      </x:c>
      <x:c r="O6" s="99" t="n">
        <x:v>65800</x:v>
      </x:c>
      <x:c r="P6" s="99" t="n">
        <x:v>67116</x:v>
      </x:c>
      <x:c r="Q6" s="99" t="n">
        <x:v>43400</x:v>
      </x:c>
      <x:c r="R6" s="99" t="n">
        <x:v>44051</x:v>
      </x:c>
      <x:c r="S6" s="78" t="n">
        <x:f>SUM(K6,M6,O6,Q6)</x:f>
        <x:v>398000</x:v>
      </x:c>
      <x:c r="T6" s="78" t="n">
        <x:f>SUM(L6,N6,P6,R6)</x:f>
        <x:v>406544</x:v>
      </x:c>
      <x:c r="U6" s="78" t="n">
        <x:f>I6-S6</x:f>
        <x:v>304554</x:v>
      </x:c>
      <x:c r="V6" s="78" t="n">
        <x:f>J6-T6</x:f>
        <x:v>301155</x:v>
      </x:c>
      <x:c r="W6" s="78" t="n">
        <x:f>V6-U6</x:f>
        <x:v>-3399</x:v>
      </x:c>
      <x:c r="X6" s="102" t="n">
        <x:f>V6/D6</x:f>
        <x:v>0.26634927569942607</x:v>
      </x:c>
      <x:c r="Y6" s="102" t="n">
        <x:f>D6/D5-1</x:f>
        <x:v>0.09772654237745582</x:v>
      </x:c>
      <x:c r="Z6" s="81" t="str">
        <x:v>SMB adoption improved</x:v>
      </x:c>
    </x:row>
    <x:row r="7">
      <x:c r="A7" s="79" t="n">
        <x:v>45809</x:v>
      </x:c>
      <x:c r="B7" s="73" t="str">
        <x:v>Jun-2025</x:v>
      </x:c>
      <x:c r="C7" s="99" t="n">
        <x:v>1180085</x:v>
      </x:c>
      <x:c r="D7" s="99" t="n">
        <x:v>1162384</x:v>
      </x:c>
      <x:c r="E7" s="100" t="n">
        <x:f>D7-C7</x:f>
        <x:v>-17701</x:v>
      </x:c>
      <x:c r="F7" s="101" t="n">
        <x:f>E7/C7</x:f>
        <x:v>-0.014999766965938894</x:v>
      </x:c>
      <x:c r="G7" s="99" t="n">
        <x:v>430973</x:v>
      </x:c>
      <x:c r="H7" s="99" t="n">
        <x:v>431227</x:v>
      </x:c>
      <x:c r="I7" s="78" t="n">
        <x:f>C7-G7</x:f>
        <x:v>749112</x:v>
      </x:c>
      <x:c r="J7" s="78" t="n">
        <x:f>D7-H7</x:f>
        <x:v>731157</x:v>
      </x:c>
      <x:c r="K7" s="99" t="n">
        <x:v>202500</x:v>
      </x:c>
      <x:c r="L7" s="99" t="n">
        <x:v>208575</x:v>
      </x:c>
      <x:c r="M7" s="99" t="n">
        <x:v>103000</x:v>
      </x:c>
      <x:c r="N7" s="99" t="n">
        <x:v>115360</x:v>
      </x:c>
      <x:c r="O7" s="99" t="n">
        <x:v>66750</x:v>
      </x:c>
      <x:c r="P7" s="99" t="n">
        <x:v>69420</x:v>
      </x:c>
      <x:c r="Q7" s="99" t="n">
        <x:v>44000</x:v>
      </x:c>
      <x:c r="R7" s="99" t="n">
        <x:v>44880</x:v>
      </x:c>
      <x:c r="S7" s="78" t="n">
        <x:f>SUM(K7,M7,O7,Q7)</x:f>
        <x:v>416250</x:v>
      </x:c>
      <x:c r="T7" s="78" t="n">
        <x:f>SUM(L7,N7,P7,R7)</x:f>
        <x:v>438235</x:v>
      </x:c>
      <x:c r="U7" s="78" t="n">
        <x:f>I7-S7</x:f>
        <x:v>332862</x:v>
      </x:c>
      <x:c r="V7" s="78" t="n">
        <x:f>J7-T7</x:f>
        <x:v>292922</x:v>
      </x:c>
      <x:c r="W7" s="78" t="n">
        <x:f>V7-U7</x:f>
        <x:v>-39940</x:v>
      </x:c>
      <x:c r="X7" s="102" t="n">
        <x:f>V7/D7</x:f>
        <x:v>0.25200105989070737</x:v>
      </x:c>
      <x:c r="Y7" s="102" t="n">
        <x:f>D7/D6-1</x:f>
        <x:v>0.02804249135694814</x:v>
      </x:c>
      <x:c r="Z7" s="81" t="str">
        <x:v>Marketing ROI below plan</x:v>
      </x:c>
    </x:row>
    <x:row r="8">
      <x:c r="A8" s="79" t="n">
        <x:v>45839</x:v>
      </x:c>
      <x:c r="B8" s="73" t="str">
        <x:v>Jul-2025</x:v>
      </x:c>
      <x:c r="C8" s="99" t="n">
        <x:v>1176151</x:v>
      </x:c>
      <x:c r="D8" s="99" t="n">
        <x:v>1176151</x:v>
      </x:c>
      <x:c r="E8" s="100" t="n">
        <x:f>D8-C8</x:f>
        <x:v>0</x:v>
      </x:c>
      <x:c r="F8" s="101" t="n">
        <x:f>E8/C8</x:f>
        <x:v>0</x:v>
      </x:c>
      <x:c r="G8" s="99" t="n">
        <x:v>433533</x:v>
      </x:c>
      <x:c r="H8" s="99" t="n">
        <x:v>430955</x:v>
      </x:c>
      <x:c r="I8" s="78" t="n">
        <x:f>C8-G8</x:f>
        <x:v>742618</x:v>
      </x:c>
      <x:c r="J8" s="78" t="n">
        <x:f>D8-H8</x:f>
        <x:v>745196</x:v>
      </x:c>
      <x:c r="K8" s="99" t="n">
        <x:v>206000</x:v>
      </x:c>
      <x:c r="L8" s="99" t="n">
        <x:v>211150</x:v>
      </x:c>
      <x:c r="M8" s="99" t="n">
        <x:v>92200</x:v>
      </x:c>
      <x:c r="N8" s="99" t="n">
        <x:v>91278</x:v>
      </x:c>
      <x:c r="O8" s="99" t="n">
        <x:v>67700</x:v>
      </x:c>
      <x:c r="P8" s="99" t="n">
        <x:v>68377</x:v>
      </x:c>
      <x:c r="Q8" s="99" t="n">
        <x:v>44600</x:v>
      </x:c>
      <x:c r="R8" s="99" t="n">
        <x:v>45046</x:v>
      </x:c>
      <x:c r="S8" s="78" t="n">
        <x:f>SUM(K8,M8,O8,Q8)</x:f>
        <x:v>410500</x:v>
      </x:c>
      <x:c r="T8" s="78" t="n">
        <x:f>SUM(L8,N8,P8,R8)</x:f>
        <x:v>415851</x:v>
      </x:c>
      <x:c r="U8" s="78" t="n">
        <x:f>I8-S8</x:f>
        <x:v>332118</x:v>
      </x:c>
      <x:c r="V8" s="78" t="n">
        <x:f>J8-T8</x:f>
        <x:v>329345</x:v>
      </x:c>
      <x:c r="W8" s="78" t="n">
        <x:f>V8-U8</x:f>
        <x:v>-2773</x:v>
      </x:c>
      <x:c r="X8" s="102" t="n">
        <x:f>V8/D8</x:f>
        <x:v>0.28001931724753026</x:v>
      </x:c>
      <x:c r="Y8" s="102" t="n">
        <x:f>D8/D7-1</x:f>
        <x:v>0.011843762474363029</x:v>
      </x:c>
      <x:c r="Z8" s="81" t="str">
        <x:v>Revenue in line with plan</x:v>
      </x:c>
    </x:row>
    <x:row r="9">
      <x:c r="A9" s="79" t="n">
        <x:v>45870</x:v>
      </x:c>
      <x:c r="B9" s="73" t="str">
        <x:v>Aug-2025</x:v>
      </x:c>
      <x:c r="C9" s="99" t="n">
        <x:v>1240727</x:v>
      </x:c>
      <x:c r="D9" s="99" t="n">
        <x:v>1271745</x:v>
      </x:c>
      <x:c r="E9" s="100" t="n">
        <x:f>D9-C9</x:f>
        <x:v>31018</x:v>
      </x:c>
      <x:c r="F9" s="101" t="n">
        <x:f>E9/C9</x:f>
        <x:v>0.024999858953661844</x:v>
      </x:c>
      <x:c r="G9" s="99" t="n">
        <x:v>463145</x:v>
      </x:c>
      <x:c r="H9" s="99" t="n">
        <x:v>459726</x:v>
      </x:c>
      <x:c r="I9" s="78" t="n">
        <x:f>C9-G9</x:f>
        <x:v>777582</x:v>
      </x:c>
      <x:c r="J9" s="78" t="n">
        <x:f>D9-H9</x:f>
        <x:v>812019</x:v>
      </x:c>
      <x:c r="K9" s="99" t="n">
        <x:v>209500</x:v>
      </x:c>
      <x:c r="L9" s="99" t="n">
        <x:v>213690</x:v>
      </x:c>
      <x:c r="M9" s="99" t="n">
        <x:v>93400</x:v>
      </x:c>
      <x:c r="N9" s="99" t="n">
        <x:v>96202</x:v>
      </x:c>
      <x:c r="O9" s="99" t="n">
        <x:v>68650</x:v>
      </x:c>
      <x:c r="P9" s="99" t="n">
        <x:v>70366</x:v>
      </x:c>
      <x:c r="Q9" s="99" t="n">
        <x:v>45200</x:v>
      </x:c>
      <x:c r="R9" s="99" t="n">
        <x:v>46104</x:v>
      </x:c>
      <x:c r="S9" s="78" t="n">
        <x:f>SUM(K9,M9,O9,Q9)</x:f>
        <x:v>416750</x:v>
      </x:c>
      <x:c r="T9" s="78" t="n">
        <x:f>SUM(L9,N9,P9,R9)</x:f>
        <x:v>426362</x:v>
      </x:c>
      <x:c r="U9" s="78" t="n">
        <x:f>I9-S9</x:f>
        <x:v>360832</x:v>
      </x:c>
      <x:c r="V9" s="78" t="n">
        <x:f>J9-T9</x:f>
        <x:v>385657</x:v>
      </x:c>
      <x:c r="W9" s="78" t="n">
        <x:f>V9-U9</x:f>
        <x:v>24825</x:v>
      </x:c>
      <x:c r="X9" s="102" t="n">
        <x:f>V9/D9</x:f>
        <x:v>0.3032502585030804</x:v>
      </x:c>
      <x:c r="Y9" s="102" t="n">
        <x:f>D9/D8-1</x:f>
        <x:v>0.08127697889131591</x:v>
      </x:c>
      <x:c r="Z9" s="81" t="str">
        <x:v>New channel partnership impact</x:v>
      </x:c>
    </x:row>
    <x:row r="10">
      <x:c r="A10" s="79" t="n">
        <x:v>45901</x:v>
      </x:c>
      <x:c r="B10" s="73" t="str">
        <x:v>Sep-2025</x:v>
      </x:c>
      <x:c r="C10" s="99" t="n">
        <x:v>1320496</x:v>
      </x:c>
      <x:c r="D10" s="99" t="n">
        <x:v>1294086</x:v>
      </x:c>
      <x:c r="E10" s="100" t="n">
        <x:f>D10-C10</x:f>
        <x:v>-26410</x:v>
      </x:c>
      <x:c r="F10" s="101" t="n">
        <x:f>E10/C10</x:f>
        <x:v>-0.020000060583295974</x:v>
      </x:c>
      <x:c r="G10" s="99" t="n">
        <x:v>495116</x:v>
      </x:c>
      <x:c r="H10" s="99" t="n">
        <x:v>462548</x:v>
      </x:c>
      <x:c r="I10" s="78" t="n">
        <x:f>C10-G10</x:f>
        <x:v>825380</x:v>
      </x:c>
      <x:c r="J10" s="78" t="n">
        <x:f>D10-H10</x:f>
        <x:v>831538</x:v>
      </x:c>
      <x:c r="K10" s="99" t="n">
        <x:v>213000</x:v>
      </x:c>
      <x:c r="L10" s="99" t="n">
        <x:v>220455</x:v>
      </x:c>
      <x:c r="M10" s="99" t="n">
        <x:v>106600</x:v>
      </x:c>
      <x:c r="N10" s="99" t="n">
        <x:v>122590</x:v>
      </x:c>
      <x:c r="O10" s="99" t="n">
        <x:v>69600</x:v>
      </x:c>
      <x:c r="P10" s="99" t="n">
        <x:v>73080</x:v>
      </x:c>
      <x:c r="Q10" s="99" t="n">
        <x:v>45800</x:v>
      </x:c>
      <x:c r="R10" s="99" t="n">
        <x:v>46945</x:v>
      </x:c>
      <x:c r="S10" s="78" t="n">
        <x:f>SUM(K10,M10,O10,Q10)</x:f>
        <x:v>435000</x:v>
      </x:c>
      <x:c r="T10" s="78" t="n">
        <x:f>SUM(L10,N10,P10,R10)</x:f>
        <x:v>463070</x:v>
      </x:c>
      <x:c r="U10" s="78" t="n">
        <x:f>I10-S10</x:f>
        <x:v>390380</x:v>
      </x:c>
      <x:c r="V10" s="78" t="n">
        <x:f>J10-T10</x:f>
        <x:v>368468</x:v>
      </x:c>
      <x:c r="W10" s="78" t="n">
        <x:f>V10-U10</x:f>
        <x:v>-21912</x:v>
      </x:c>
      <x:c r="X10" s="102" t="n">
        <x:f>V10/D10</x:f>
        <x:v>0.28473223572467365</x:v>
      </x:c>
      <x:c r="Y10" s="102" t="n">
        <x:f>D10/D9-1</x:f>
        <x:v>0.017567200971893016</x:v>
      </x:c>
      <x:c r="Z10" s="81" t="str">
        <x:v>Hiring and campaign timing pressure</x:v>
      </x:c>
    </x:row>
    <x:row r="11">
      <x:c r="A11" s="79" t="n">
        <x:v>45931</x:v>
      </x:c>
      <x:c r="B11" s="73" t="str">
        <x:v>Oct-2025</x:v>
      </x:c>
      <x:c r="C11" s="99" t="n">
        <x:v>1404329</x:v>
      </x:c>
      <x:c r="D11" s="99" t="n">
        <x:v>1425394</x:v>
      </x:c>
      <x:c r="E11" s="100" t="n">
        <x:f>D11-C11</x:f>
        <x:v>21065</x:v>
      </x:c>
      <x:c r="F11" s="101" t="n">
        <x:f>E11/C11</x:f>
        <x:v>0.015000046285450205</x:v>
      </x:c>
      <x:c r="G11" s="99" t="n">
        <x:v>522496</x:v>
      </x:c>
      <x:c r="H11" s="99" t="n">
        <x:v>506335</x:v>
      </x:c>
      <x:c r="I11" s="78" t="n">
        <x:f>C11-G11</x:f>
        <x:v>881833</x:v>
      </x:c>
      <x:c r="J11" s="78" t="n">
        <x:f>D11-H11</x:f>
        <x:v>919059</x:v>
      </x:c>
      <x:c r="K11" s="99" t="n">
        <x:v>216500</x:v>
      </x:c>
      <x:c r="L11" s="99" t="n">
        <x:v>225160</x:v>
      </x:c>
      <x:c r="M11" s="99" t="n">
        <x:v>95800</x:v>
      </x:c>
      <x:c r="N11" s="99" t="n">
        <x:v>97716</x:v>
      </x:c>
      <x:c r="O11" s="99" t="n">
        <x:v>70550</x:v>
      </x:c>
      <x:c r="P11" s="99" t="n">
        <x:v>73019</x:v>
      </x:c>
      <x:c r="Q11" s="99" t="n">
        <x:v>46400</x:v>
      </x:c>
      <x:c r="R11" s="99" t="n">
        <x:v>47328</x:v>
      </x:c>
      <x:c r="S11" s="78" t="n">
        <x:f>SUM(K11,M11,O11,Q11)</x:f>
        <x:v>429250</x:v>
      </x:c>
      <x:c r="T11" s="78" t="n">
        <x:f>SUM(L11,N11,P11,R11)</x:f>
        <x:v>443223</x:v>
      </x:c>
      <x:c r="U11" s="78" t="n">
        <x:f>I11-S11</x:f>
        <x:v>452583</x:v>
      </x:c>
      <x:c r="V11" s="78" t="n">
        <x:f>J11-T11</x:f>
        <x:v>475836</x:v>
      </x:c>
      <x:c r="W11" s="78" t="n">
        <x:f>V11-U11</x:f>
        <x:v>23253</x:v>
      </x:c>
      <x:c r="X11" s="102" t="n">
        <x:f>V11/D11</x:f>
        <x:v>0.33382769956938224</x:v>
      </x:c>
      <x:c r="Y11" s="102" t="n">
        <x:f>D11/D10-1</x:f>
        <x:v>0.10146775407507702</x:v>
      </x:c>
      <x:c r="Z11" s="81" t="str">
        <x:v>Enterprise renewals improved</x:v>
      </x:c>
    </x:row>
    <x:row r="12">
      <x:c r="A12" s="79" t="n">
        <x:v>45962</x:v>
      </x:c>
      <x:c r="B12" s="73" t="str">
        <x:v>Nov-2025</x:v>
      </x:c>
      <x:c r="C12" s="99" t="n">
        <x:v>1505391</x:v>
      </x:c>
      <x:c r="D12" s="99" t="n">
        <x:v>1558080</x:v>
      </x:c>
      <x:c r="E12" s="100" t="n">
        <x:f>D12-C12</x:f>
        <x:v>52689</x:v>
      </x:c>
      <x:c r="F12" s="101" t="n">
        <x:f>E12/C12</x:f>
        <x:v>0.03500020924796282</x:v>
      </x:c>
      <x:c r="G12" s="99" t="n">
        <x:v>552900</x:v>
      </x:c>
      <x:c r="H12" s="99" t="n">
        <x:v>553758</x:v>
      </x:c>
      <x:c r="I12" s="78" t="n">
        <x:f>C12-G12</x:f>
        <x:v>952491</x:v>
      </x:c>
      <x:c r="J12" s="78" t="n">
        <x:f>D12-H12</x:f>
        <x:v>1004322</x:v>
      </x:c>
      <x:c r="K12" s="99" t="n">
        <x:v>220000</x:v>
      </x:c>
      <x:c r="L12" s="99" t="n">
        <x:v>227700</x:v>
      </x:c>
      <x:c r="M12" s="99" t="n">
        <x:v>109000</x:v>
      </x:c>
      <x:c r="N12" s="99" t="n">
        <x:v>119900</x:v>
      </x:c>
      <x:c r="O12" s="99" t="n">
        <x:v>71500</x:v>
      </x:c>
      <x:c r="P12" s="99" t="n">
        <x:v>73645</x:v>
      </x:c>
      <x:c r="Q12" s="99" t="n">
        <x:v>47000</x:v>
      </x:c>
      <x:c r="R12" s="99" t="n">
        <x:v>47705</x:v>
      </x:c>
      <x:c r="S12" s="78" t="n">
        <x:f>SUM(K12,M12,O12,Q12)</x:f>
        <x:v>447500</x:v>
      </x:c>
      <x:c r="T12" s="78" t="n">
        <x:f>SUM(L12,N12,P12,R12)</x:f>
        <x:v>468950</x:v>
      </x:c>
      <x:c r="U12" s="78" t="n">
        <x:f>I12-S12</x:f>
        <x:v>504991</x:v>
      </x:c>
      <x:c r="V12" s="78" t="n">
        <x:f>J12-T12</x:f>
        <x:v>535372</x:v>
      </x:c>
      <x:c r="W12" s="78" t="n">
        <x:f>V12-U12</x:f>
        <x:v>30381</x:v>
      </x:c>
      <x:c r="X12" s="102" t="n">
        <x:f>V12/D12</x:f>
        <x:v>0.3436100842062025</x:v>
      </x:c>
      <x:c r="Y12" s="102" t="n">
        <x:f>D12/D11-1</x:f>
        <x:v>0.09308724464954943</x:v>
      </x:c>
      <x:c r="Z12" s="81" t="str">
        <x:v>Seasonal demand and cross-sell growth</x:v>
      </x:c>
    </x:row>
    <x:row r="13">
      <x:c r="A13" s="79" t="n">
        <x:v>45992</x:v>
      </x:c>
      <x:c r="B13" s="73" t="str">
        <x:v>Dec-2025</x:v>
      </x:c>
      <x:c r="C13" s="99" t="n">
        <x:v>1638670</x:v>
      </x:c>
      <x:c r="D13" s="99" t="n">
        <x:v>1704217</x:v>
      </x:c>
      <x:c r="E13" s="100" t="n">
        <x:f>D13-C13</x:f>
        <x:v>65547</x:v>
      </x:c>
      <x:c r="F13" s="101" t="n">
        <x:f>E13/C13</x:f>
        <x:v>0.04000012205019925</x:v>
      </x:c>
      <x:c r="G13" s="99" t="n">
        <x:v>598115</x:v>
      </x:c>
      <x:c r="H13" s="99" t="n">
        <x:v>610015</x:v>
      </x:c>
      <x:c r="I13" s="78" t="n">
        <x:f>C13-G13</x:f>
        <x:v>1040555</x:v>
      </x:c>
      <x:c r="J13" s="78" t="n">
        <x:f>D13-H13</x:f>
        <x:v>1094202</x:v>
      </x:c>
      <x:c r="K13" s="99" t="n">
        <x:v>223500</x:v>
      </x:c>
      <x:c r="L13" s="99" t="n">
        <x:v>230205</x:v>
      </x:c>
      <x:c r="M13" s="99" t="n">
        <x:v>110200</x:v>
      </x:c>
      <x:c r="N13" s="99" t="n">
        <x:v>120118</x:v>
      </x:c>
      <x:c r="O13" s="99" t="n">
        <x:v>72450</x:v>
      </x:c>
      <x:c r="P13" s="99" t="n">
        <x:v>74261</x:v>
      </x:c>
      <x:c r="Q13" s="99" t="n">
        <x:v>47600</x:v>
      </x:c>
      <x:c r="R13" s="99" t="n">
        <x:v>48552</x:v>
      </x:c>
      <x:c r="S13" s="78" t="n">
        <x:f>SUM(K13,M13,O13,Q13)</x:f>
        <x:v>453750</x:v>
      </x:c>
      <x:c r="T13" s="78" t="n">
        <x:f>SUM(L13,N13,P13,R13)</x:f>
        <x:v>473136</x:v>
      </x:c>
      <x:c r="U13" s="78" t="n">
        <x:f>I13-S13</x:f>
        <x:v>586805</x:v>
      </x:c>
      <x:c r="V13" s="78" t="n">
        <x:f>J13-T13</x:f>
        <x:v>621066</x:v>
      </x:c>
      <x:c r="W13" s="78" t="n">
        <x:f>V13-U13</x:f>
        <x:v>34261</x:v>
      </x:c>
      <x:c r="X13" s="102" t="n">
        <x:f>V13/D13</x:f>
        <x:v>0.36442894302779516</x:v>
      </x:c>
      <x:c r="Y13" s="102" t="n">
        <x:f>D13/D12-1</x:f>
        <x:v>0.09379300164304794</x:v>
      </x:c>
      <x:c r="Z13" s="81" t="str">
        <x:v>Year-end sales push exceeded plan</x:v>
      </x:c>
    </x:row>
    <x:row r="14">
      <x:c r="A14" s="73"/>
      <x:c r="B14" s="73"/>
      <x:c r="C14" s="78"/>
      <x:c r="D14" s="78"/>
      <x:c r="E14" s="100"/>
      <x:c r="F14" s="101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102"/>
      <x:c r="Y14" s="102"/>
      <x:c r="Z14" s="73"/>
    </x:row>
    <x:row r="15">
      <x:c r="A15" s="103" t="str">
        <x:v>Total / Average</x:v>
      </x:c>
      <x:c r="B15" s="103" t="str">
        <x:v>FY2025</x:v>
      </x:c>
      <x:c r="C15" s="104" t="n">
        <x:f>SUM(C2:C13)</x:f>
        <x:v>14474470</x:v>
      </x:c>
      <x:c r="D15" s="104" t="n">
        <x:f>SUM(D2:D13)</x:f>
        <x:v>14634571</x:v>
      </x:c>
      <x:c r="E15" s="105" t="n">
        <x:f>D15-C15</x:f>
        <x:v>160101</x:v>
      </x:c>
      <x:c r="F15" s="106" t="n">
        <x:f>E15/C15</x:f>
        <x:v>0.011060923128791589</x:v>
      </x:c>
      <x:c r="G15" s="104" t="n">
        <x:f>SUM(G2:G13)</x:f>
        <x:v>5354628</x:v>
      </x:c>
      <x:c r="H15" s="104" t="n">
        <x:f>SUM(H2:H13)</x:f>
        <x:v>5329044</x:v>
      </x:c>
      <x:c r="I15" s="104" t="n">
        <x:f>SUM(I2:I13)</x:f>
        <x:v>9119842</x:v>
      </x:c>
      <x:c r="J15" s="104" t="n">
        <x:f>SUM(J2:J13)</x:f>
        <x:v>9305527</x:v>
      </x:c>
      <x:c r="K15" s="104" t="n">
        <x:f>SUM(K2:K13)</x:f>
        <x:v>2451000</x:v>
      </x:c>
      <x:c r="L15" s="104" t="n">
        <x:f>SUM(L2:L13)</x:f>
        <x:v>2508560</x:v>
      </x:c>
      <x:c r="M15" s="104" t="n">
        <x:f>SUM(M2:M13)</x:f>
        <x:v>1159200</x:v>
      </x:c>
      <x:c r="N15" s="104" t="n">
        <x:f>SUM(N2:N13)</x:f>
        <x:v>1220248</x:v>
      </x:c>
      <x:c r="O15" s="104" t="n">
        <x:f>SUM(O2:O13)</x:f>
        <x:v>806700</x:v>
      </x:c>
      <x:c r="P15" s="104" t="n">
        <x:f>SUM(P2:P13)</x:f>
        <x:v>826800</x:v>
      </x:c>
      <x:c r="Q15" s="104" t="n">
        <x:f>SUM(Q2:Q13)</x:f>
        <x:v>531600</x:v>
      </x:c>
      <x:c r="R15" s="104" t="n">
        <x:f>SUM(R2:R13)</x:f>
        <x:v>539266</x:v>
      </x:c>
      <x:c r="S15" s="104" t="n">
        <x:f>SUM(S2:S13)</x:f>
        <x:v>4948500</x:v>
      </x:c>
      <x:c r="T15" s="104" t="n">
        <x:f>SUM(T2:T13)</x:f>
        <x:v>5094874</x:v>
      </x:c>
      <x:c r="U15" s="104" t="n">
        <x:f>SUM(U2:U13)</x:f>
        <x:v>4171342</x:v>
      </x:c>
      <x:c r="V15" s="104" t="n">
        <x:f>SUM(V2:V13)</x:f>
        <x:v>4210653</x:v>
      </x:c>
      <x:c r="W15" s="104" t="n">
        <x:f>V15-U15</x:f>
        <x:v>39311</x:v>
      </x:c>
      <x:c r="X15" s="107" t="n">
        <x:f>V15/D15</x:f>
        <x:v>0.2877196058565707</x:v>
      </x:c>
      <x:c r="Y15" s="107" t="n">
        <x:f>AVERAGE(Y3:Y13)</x:f>
        <x:v>0.0633442420580102</x:v>
      </x:c>
      <x:c r="Z15" s="10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conditionalFormatting sqref="E2:E13">
    <x:cfRule type="cellIs" dxfId="0" priority="1" operator="lessThan">
      <x:formula>0</x:formula>
    </x:cfRule>
  </x:conditionalFormatting>
  <x:conditionalFormatting sqref="W2:W13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88c050ca0543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.939998626708984" hidden="0" customWidth="1"/>
    <x:col min="2" max="2" width="12.920000076293945" hidden="0" customWidth="1"/>
    <x:col min="3" max="3" width="12.109999656677246" hidden="0" customWidth="1"/>
    <x:col min="4" max="4" width="10.359999656677246" hidden="0" customWidth="1"/>
    <x:col min="5" max="5" width="10.09000015258789" hidden="0" customWidth="1"/>
    <x:col min="6" max="6" width="18.979999542236328" hidden="0" customWidth="1"/>
    <x:col min="7" max="7" width="34" hidden="0" customWidth="1"/>
    <x:col min="8" max="8" width="42" hidden="0" customWidth="1"/>
  </x:cols>
  <x:sheetData>
    <x:row r="1">
      <x:c r="A1" s="126" t="str">
        <x:v>Budget vs Actual Variance Analysis</x:v>
      </x:c>
      <x:c r="B1" s="126" t="str"/>
      <x:c r="C1" s="126" t="str"/>
      <x:c r="D1" s="126" t="str"/>
      <x:c r="E1" s="126" t="str"/>
      <x:c r="F1" s="126" t="str"/>
      <x:c r="G1" s="126" t="str"/>
      <x:c r="H1" s="126" t="str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118" t="str">
        <x:v>Month</x:v>
      </x:c>
      <x:c r="B3" s="118" t="str">
        <x:v>Revenue Var ($)</x:v>
      </x:c>
      <x:c r="C3" s="118" t="str">
        <x:v>Revenue Var %</x:v>
      </x:c>
      <x:c r="D3" s="118" t="str">
        <x:v>COGS Var ($)</x:v>
      </x:c>
      <x:c r="E3" s="118" t="str">
        <x:v>Opex Var ($)</x:v>
      </x:c>
      <x:c r="F3" s="118" t="str">
        <x:v>Operating Profit Var ($)</x:v>
      </x:c>
      <x:c r="G3" s="118" t="str">
        <x:v>Main Driver</x:v>
      </x:c>
      <x:c r="H3" s="118" t="str">
        <x:v>Management Action</x:v>
      </x:c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119" t="str">
        <x:f>Monthly_Data!B2</x:f>
        <x:v>Jan-2025</x:v>
      </x:c>
      <x:c r="B4" s="78" t="n">
        <x:f>Monthly_Data!E2</x:f>
        <x:v>-17848</x:v>
      </x:c>
      <x:c r="C4" s="102" t="n">
        <x:f>Monthly_Data!F2</x:f>
        <x:v>-0.02</x:v>
      </x:c>
      <x:c r="D4" s="78" t="n">
        <x:f>Monthly_Data!H2-Monthly_Data!G2</x:f>
        <x:v>-10977</x:v>
      </x:c>
      <x:c r="E4" s="78" t="n">
        <x:f>Monthly_Data!T2-Monthly_Data!S2</x:f>
        <x:v>540</x:v>
      </x:c>
      <x:c r="F4" s="78" t="n">
        <x:f>Monthly_Data!W2</x:f>
        <x:v>-7411</x:v>
      </x:c>
      <x:c r="G4" s="81" t="str">
        <x:f>Monthly_Data!Z2</x:f>
        <x:v>Soft start after year-end campaigns</x:v>
      </x:c>
      <x:c r="H4" s="81" t="str">
        <x:v>Review campaign timing and monitor lead conversion.</x:v>
      </x:c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119" t="str">
        <x:f>Monthly_Data!B3</x:f>
        <x:v>Feb-2025</x:v>
      </x:c>
      <x:c r="B5" s="78" t="n">
        <x:f>Monthly_Data!E3</x:f>
        <x:v>9522</x:v>
      </x:c>
      <x:c r="C5" s="102" t="n">
        <x:f>Monthly_Data!F3</x:f>
        <x:v>0.01</x:v>
      </x:c>
      <x:c r="D5" s="78" t="n">
        <x:f>Monthly_Data!H3-Monthly_Data!G3</x:f>
        <x:v>-681</x:v>
      </x:c>
      <x:c r="E5" s="78" t="n">
        <x:f>Monthly_Data!T3-Monthly_Data!S3</x:f>
        <x:v>1908</x:v>
      </x:c>
      <x:c r="F5" s="78" t="n">
        <x:f>Monthly_Data!W3</x:f>
        <x:v>8295</x:v>
      </x:c>
      <x:c r="G5" s="81" t="str">
        <x:f>Monthly_Data!Z3</x:f>
        <x:v>Pipeline conversion improved</x:v>
      </x:c>
      <x:c r="H5" s="81" t="str">
        <x:v>Maintain channel mix and protect gross margin.</x:v>
      </x:c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119" t="str">
        <x:f>Monthly_Data!B4</x:f>
        <x:v>Mar-2025</x:v>
      </x:c>
      <x:c r="B6" s="78" t="n">
        <x:f>Monthly_Data!E4</x:f>
        <x:v>30453</x:v>
      </x:c>
      <x:c r="C6" s="102" t="n">
        <x:f>Monthly_Data!F4</x:f>
        <x:v>0.030000206877596438</x:v>
      </x:c>
      <x:c r="D6" s="78" t="n">
        <x:f>Monthly_Data!H4-Monthly_Data!G4</x:f>
        <x:v>10223</x:v>
      </x:c>
      <x:c r="E6" s="78" t="n">
        <x:f>Monthly_Data!T4-Monthly_Data!S4</x:f>
        <x:v>11043</x:v>
      </x:c>
      <x:c r="F6" s="78" t="n">
        <x:f>Monthly_Data!W4</x:f>
        <x:v>9187</x:v>
      </x:c>
      <x:c r="G6" s="81" t="str">
        <x:f>Monthly_Data!Z4</x:f>
        <x:v>Upsell campaign lifted actual revenue</x:v>
      </x:c>
      <x:c r="H6" s="81" t="str">
        <x:v>Scale high-ROI upsell programs.</x:v>
      </x:c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119" t="str">
        <x:f>Monthly_Data!B5</x:f>
        <x:v>Apr-2025</x:v>
      </x:c>
      <x:c r="B7" s="78" t="n">
        <x:f>Monthly_Data!E5</x:f>
        <x:v>-10404</x:v>
      </x:c>
      <x:c r="C7" s="102" t="n">
        <x:f>Monthly_Data!F5</x:f>
        <x:v>-0.009999798158630016</x:v>
      </x:c>
      <x:c r="D7" s="78" t="n">
        <x:f>Monthly_Data!H5-Monthly_Data!G5</x:f>
        <x:v>540</x:v>
      </x:c>
      <x:c r="E7" s="78" t="n">
        <x:f>Monthly_Data!T5-Monthly_Data!S5</x:f>
        <x:v>4512</x:v>
      </x:c>
      <x:c r="F7" s="78" t="n">
        <x:f>Monthly_Data!W5</x:f>
        <x:v>-15456</x:v>
      </x:c>
      <x:c r="G7" s="81" t="str">
        <x:f>Monthly_Data!Z5</x:f>
        <x:v>Enterprise deal slipped to next month</x:v>
      </x:c>
      <x:c r="H7" s="81" t="str">
        <x:v>Improve deal close discipline and pipeline aging.</x:v>
      </x:c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119" t="str">
        <x:f>Monthly_Data!B6</x:f>
        <x:v>May-2025</x:v>
      </x:c>
      <x:c r="B8" s="78" t="n">
        <x:f>Monthly_Data!E6</x:f>
        <x:v>22170</x:v>
      </x:c>
      <x:c r="C8" s="102" t="n">
        <x:f>Monthly_Data!F6</x:f>
        <x:v>0.019999873704000064</x:v>
      </x:c>
      <x:c r="D8" s="78" t="n">
        <x:f>Monthly_Data!H6-Monthly_Data!G6</x:f>
        <x:v>17025</x:v>
      </x:c>
      <x:c r="E8" s="78" t="n">
        <x:f>Monthly_Data!T6-Monthly_Data!S6</x:f>
        <x:v>8544</x:v>
      </x:c>
      <x:c r="F8" s="78" t="n">
        <x:f>Monthly_Data!W6</x:f>
        <x:v>-3399</x:v>
      </x:c>
      <x:c r="G8" s="81" t="str">
        <x:f>Monthly_Data!Z6</x:f>
        <x:v>SMB adoption improved</x:v>
      </x:c>
      <x:c r="H8" s="81" t="str">
        <x:v>Replicate SMB sales motion in underperforming regions.</x:v>
      </x:c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119" t="str">
        <x:f>Monthly_Data!B7</x:f>
        <x:v>Jun-2025</x:v>
      </x:c>
      <x:c r="B9" s="78" t="n">
        <x:f>Monthly_Data!E7</x:f>
        <x:v>-17701</x:v>
      </x:c>
      <x:c r="C9" s="102" t="n">
        <x:f>Monthly_Data!F7</x:f>
        <x:v>-0.014999766965938894</x:v>
      </x:c>
      <x:c r="D9" s="78" t="n">
        <x:f>Monthly_Data!H7-Monthly_Data!G7</x:f>
        <x:v>254</x:v>
      </x:c>
      <x:c r="E9" s="78" t="n">
        <x:f>Monthly_Data!T7-Monthly_Data!S7</x:f>
        <x:v>21985</x:v>
      </x:c>
      <x:c r="F9" s="78" t="n">
        <x:f>Monthly_Data!W7</x:f>
        <x:v>-39940</x:v>
      </x:c>
      <x:c r="G9" s="81" t="str">
        <x:f>Monthly_Data!Z7</x:f>
        <x:v>Marketing ROI below plan</x:v>
      </x:c>
      <x:c r="H9" s="81" t="str">
        <x:v>Pause low-converting campaigns and renegotiate media spend.</x:v>
      </x:c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119" t="str">
        <x:f>Monthly_Data!B8</x:f>
        <x:v>Jul-2025</x:v>
      </x:c>
      <x:c r="B10" s="78" t="n">
        <x:f>Monthly_Data!E8</x:f>
        <x:v>0</x:v>
      </x:c>
      <x:c r="C10" s="102" t="n">
        <x:f>Monthly_Data!F8</x:f>
        <x:v>0</x:v>
      </x:c>
      <x:c r="D10" s="78" t="n">
        <x:f>Monthly_Data!H8-Monthly_Data!G8</x:f>
        <x:v>-2578</x:v>
      </x:c>
      <x:c r="E10" s="78" t="n">
        <x:f>Monthly_Data!T8-Monthly_Data!S8</x:f>
        <x:v>5351</x:v>
      </x:c>
      <x:c r="F10" s="78" t="n">
        <x:f>Monthly_Data!W8</x:f>
        <x:v>-2773</x:v>
      </x:c>
      <x:c r="G10" s="81" t="str">
        <x:f>Monthly_Data!Z8</x:f>
        <x:v>Revenue in line with plan</x:v>
      </x:c>
      <x:c r="H10" s="81" t="str">
        <x:v>Continue spend discipline.</x:v>
      </x:c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119" t="str">
        <x:f>Monthly_Data!B9</x:f>
        <x:v>Aug-2025</x:v>
      </x:c>
      <x:c r="B11" s="78" t="n">
        <x:f>Monthly_Data!E9</x:f>
        <x:v>31018</x:v>
      </x:c>
      <x:c r="C11" s="102" t="n">
        <x:f>Monthly_Data!F9</x:f>
        <x:v>0.024999858953661844</x:v>
      </x:c>
      <x:c r="D11" s="78" t="n">
        <x:f>Monthly_Data!H9-Monthly_Data!G9</x:f>
        <x:v>-3419</x:v>
      </x:c>
      <x:c r="E11" s="78" t="n">
        <x:f>Monthly_Data!T9-Monthly_Data!S9</x:f>
        <x:v>9612</x:v>
      </x:c>
      <x:c r="F11" s="78" t="n">
        <x:f>Monthly_Data!W9</x:f>
        <x:v>24825</x:v>
      </x:c>
      <x:c r="G11" s="81" t="str">
        <x:f>Monthly_Data!Z9</x:f>
        <x:v>New channel partnership impact</x:v>
      </x:c>
      <x:c r="H11" s="81" t="str">
        <x:v>Convert partnership leads into contracted revenue.</x:v>
      </x:c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119" t="str">
        <x:f>Monthly_Data!B10</x:f>
        <x:v>Sep-2025</x:v>
      </x:c>
      <x:c r="B12" s="78" t="n">
        <x:f>Monthly_Data!E10</x:f>
        <x:v>-26410</x:v>
      </x:c>
      <x:c r="C12" s="102" t="n">
        <x:f>Monthly_Data!F10</x:f>
        <x:v>-0.020000060583295974</x:v>
      </x:c>
      <x:c r="D12" s="78" t="n">
        <x:f>Monthly_Data!H10-Monthly_Data!G10</x:f>
        <x:v>-32568</x:v>
      </x:c>
      <x:c r="E12" s="78" t="n">
        <x:f>Monthly_Data!T10-Monthly_Data!S10</x:f>
        <x:v>28070</x:v>
      </x:c>
      <x:c r="F12" s="78" t="n">
        <x:f>Monthly_Data!W10</x:f>
        <x:v>-21912</x:v>
      </x:c>
      <x:c r="G12" s="81" t="str">
        <x:f>Monthly_Data!Z10</x:f>
        <x:v>Hiring and campaign timing pressure</x:v>
      </x:c>
      <x:c r="H12" s="81" t="str">
        <x:v>Control hiring pace and tighten campaign approvals.</x:v>
      </x:c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119" t="str">
        <x:f>Monthly_Data!B11</x:f>
        <x:v>Oct-2025</x:v>
      </x:c>
      <x:c r="B13" s="78" t="n">
        <x:f>Monthly_Data!E11</x:f>
        <x:v>21065</x:v>
      </x:c>
      <x:c r="C13" s="102" t="n">
        <x:f>Monthly_Data!F11</x:f>
        <x:v>0.015000046285450205</x:v>
      </x:c>
      <x:c r="D13" s="78" t="n">
        <x:f>Monthly_Data!H11-Monthly_Data!G11</x:f>
        <x:v>-16161</x:v>
      </x:c>
      <x:c r="E13" s="78" t="n">
        <x:f>Monthly_Data!T11-Monthly_Data!S11</x:f>
        <x:v>13973</x:v>
      </x:c>
      <x:c r="F13" s="78" t="n">
        <x:f>Monthly_Data!W11</x:f>
        <x:v>23253</x:v>
      </x:c>
      <x:c r="G13" s="81" t="str">
        <x:f>Monthly_Data!Z11</x:f>
        <x:v>Enterprise renewals improved</x:v>
      </x:c>
      <x:c r="H13" s="81" t="str">
        <x:v>Prioritize enterprise renewal playbook.</x:v>
      </x:c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119" t="str">
        <x:f>Monthly_Data!B12</x:f>
        <x:v>Nov-2025</x:v>
      </x:c>
      <x:c r="B14" s="78" t="n">
        <x:f>Monthly_Data!E12</x:f>
        <x:v>52689</x:v>
      </x:c>
      <x:c r="C14" s="102" t="n">
        <x:f>Monthly_Data!F12</x:f>
        <x:v>0.03500020924796282</x:v>
      </x:c>
      <x:c r="D14" s="78" t="n">
        <x:f>Monthly_Data!H12-Monthly_Data!G12</x:f>
        <x:v>858</x:v>
      </x:c>
      <x:c r="E14" s="78" t="n">
        <x:f>Monthly_Data!T12-Monthly_Data!S12</x:f>
        <x:v>21450</x:v>
      </x:c>
      <x:c r="F14" s="78" t="n">
        <x:f>Monthly_Data!W12</x:f>
        <x:v>30381</x:v>
      </x:c>
      <x:c r="G14" s="81" t="str">
        <x:f>Monthly_Data!Z12</x:f>
        <x:v>Seasonal demand and cross-sell growth</x:v>
      </x:c>
      <x:c r="H14" s="81" t="str">
        <x:v>Use seasonal demand to upsell annual contracts.</x:v>
      </x:c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119" t="str">
        <x:f>Monthly_Data!B13</x:f>
        <x:v>Dec-2025</x:v>
      </x:c>
      <x:c r="B15" s="78" t="n">
        <x:f>Monthly_Data!E13</x:f>
        <x:v>65547</x:v>
      </x:c>
      <x:c r="C15" s="102" t="n">
        <x:f>Monthly_Data!F13</x:f>
        <x:v>0.04000012205019925</x:v>
      </x:c>
      <x:c r="D15" s="78" t="n">
        <x:f>Monthly_Data!H13-Monthly_Data!G13</x:f>
        <x:v>11900</x:v>
      </x:c>
      <x:c r="E15" s="78" t="n">
        <x:f>Monthly_Data!T13-Monthly_Data!S13</x:f>
        <x:v>19386</x:v>
      </x:c>
      <x:c r="F15" s="78" t="n">
        <x:f>Monthly_Data!W13</x:f>
        <x:v>34261</x:v>
      </x:c>
      <x:c r="G15" s="81" t="str">
        <x:f>Monthly_Data!Z13</x:f>
        <x:v>Year-end sales push exceeded plan</x:v>
      </x:c>
      <x:c r="H15" s="81" t="str">
        <x:v>Lock in year-end pipeline and plan Q1 retention.</x:v>
      </x:c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1.40999984741211" hidden="0" customWidth="1"/>
    <x:col min="2" max="2" width="21.270000457763672" hidden="0" customWidth="1"/>
    <x:col min="3" max="3" width="17.899999618530273" hidden="0" customWidth="1"/>
    <x:col min="4" max="4" width="19.25" hidden="0" customWidth="1"/>
    <x:col min="5" max="5" width="14.399999618530273" hidden="0" customWidth="1"/>
    <x:col min="6" max="6" width="14.130000114440918" hidden="0" customWidth="1"/>
    <x:col min="7" max="7" width="23.010000228881836" hidden="0" customWidth="1"/>
    <x:col min="8" max="8" width="16.290000915527344" hidden="0" customWidth="1"/>
  </x:cols>
  <x:sheetData>
    <x:row r="1">
      <x:c r="A1" s="126" t="str">
        <x:v>Six-Month Revenue and Operating Profit Forecast</x:v>
      </x:c>
      <x:c r="B1" s="126" t="str"/>
      <x:c r="C1" s="126" t="str"/>
      <x:c r="D1" s="126" t="str"/>
      <x:c r="E1" s="126" t="str"/>
      <x:c r="F1" s="126" t="str"/>
      <x:c r="G1" s="126" t="str"/>
      <x:c r="H1" s="126" t="str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118" t="str">
        <x:v>Month</x:v>
      </x:c>
      <x:c r="B3" s="118" t="str">
        <x:v>Base Revenue Forecast ($)</x:v>
      </x:c>
      <x:c r="C3" s="118" t="str">
        <x:v>Best Case Revenue ($)</x:v>
      </x:c>
      <x:c r="D3" s="118" t="str">
        <x:v>Worst Case Revenue ($)</x:v>
      </x:c>
      <x:c r="E3" s="118" t="str">
        <x:v>COGS Forecast ($)</x:v>
      </x:c>
      <x:c r="F3" s="118" t="str">
        <x:v>Opex Forecast ($)</x:v>
      </x:c>
      <x:c r="G3" s="118" t="str">
        <x:v>Operating Profit Forecast ($)</x:v>
      </x:c>
      <x:c r="H3" s="118" t="str">
        <x:v>Operating Margin %</x:v>
      </x:c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9" t="n">
        <x:v>46023</x:v>
      </x:c>
      <x:c r="B4" s="78" t="n">
        <x:f>Monthly_Data!D13*(1+Assumptions!$B$6)</x:f>
        <x:v>1763864.595</x:v>
      </x:c>
      <x:c r="C4" s="78" t="n">
        <x:f>Monthly_Data!D13*(1+Assumptions!$B$7)</x:f>
        <x:v>1797948.9349999998</x:v>
      </x:c>
      <x:c r="D4" s="78" t="n">
        <x:f>Monthly_Data!D13*(1+Assumptions!$B$8)</x:f>
        <x:v>1729780.255</x:v>
      </x:c>
      <x:c r="E4" s="78" t="n">
        <x:f>B4*Assumptions!$B$9</x:f>
        <x:v>643810.577175</x:v>
      </x:c>
      <x:c r="F4" s="78" t="n">
        <x:f>B4*Assumptions!$B$10</x:f>
        <x:v>555617.347425</x:v>
      </x:c>
      <x:c r="G4" s="78" t="n">
        <x:f>B4-E4-F4</x:f>
        <x:v>564436.6704</x:v>
      </x:c>
      <x:c r="H4" s="102" t="n">
        <x:f>G4/B4</x:f>
        <x:v>0.31999999999999995</x:v>
      </x:c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9" t="n">
        <x:v>46054</x:v>
      </x:c>
      <x:c r="B5" s="78" t="n">
        <x:f>B4*(1+Assumptions!$B$6)</x:f>
        <x:v>1825599.8558249997</x:v>
      </x:c>
      <x:c r="C5" s="78" t="n">
        <x:f>C4*(1+Assumptions!$B$7)</x:f>
        <x:v>1896836.1264249997</x:v>
      </x:c>
      <x:c r="D5" s="78" t="n">
        <x:f>D4*(1+Assumptions!$B$8)</x:f>
        <x:v>1755726.9588249996</x:v>
      </x:c>
      <x:c r="E5" s="78" t="n">
        <x:f>B5*Assumptions!$B$9</x:f>
        <x:v>666343.9473761249</x:v>
      </x:c>
      <x:c r="F5" s="78" t="n">
        <x:f>B5*Assumptions!$B$10</x:f>
        <x:v>575063.9545848749</x:v>
      </x:c>
      <x:c r="G5" s="78" t="n">
        <x:f>B5-E5-F5</x:f>
        <x:v>584191.953864</x:v>
      </x:c>
      <x:c r="H5" s="102" t="n">
        <x:f>G5/B5</x:f>
        <x:v>0.32000000000000006</x:v>
      </x:c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9" t="n">
        <x:v>46082</x:v>
      </x:c>
      <x:c r="B6" s="78" t="n">
        <x:f>B5*(1+Assumptions!$B$6)</x:f>
        <x:v>1889495.8507788745</x:v>
      </x:c>
      <x:c r="C6" s="78" t="n">
        <x:f>C5*(1+Assumptions!$B$7)</x:f>
        <x:v>2001162.1133783746</x:v>
      </x:c>
      <x:c r="D6" s="78" t="n">
        <x:f>D5*(1+Assumptions!$B$8)</x:f>
        <x:v>1782062.8632073745</x:v>
      </x:c>
      <x:c r="E6" s="78" t="n">
        <x:f>B6*Assumptions!$B$9</x:f>
        <x:v>689665.9855342892</x:v>
      </x:c>
      <x:c r="F6" s="78" t="n">
        <x:f>B6*Assumptions!$B$10</x:f>
        <x:v>595191.1929953455</x:v>
      </x:c>
      <x:c r="G6" s="78" t="n">
        <x:f>B6-E6-F6</x:f>
        <x:v>604638.6722492399</x:v>
      </x:c>
      <x:c r="H6" s="102" t="n">
        <x:f>G6/B6</x:f>
        <x:v>0.32</x:v>
      </x:c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9" t="n">
        <x:v>46113</x:v>
      </x:c>
      <x:c r="B7" s="78" t="n">
        <x:f>B6*(1+Assumptions!$B$6)</x:f>
        <x:v>1955628.205556135</x:v>
      </x:c>
      <x:c r="C7" s="78" t="n">
        <x:f>C6*(1+Assumptions!$B$7)</x:f>
        <x:v>2111226.029614185</x:v>
      </x:c>
      <x:c r="D7" s="78" t="n">
        <x:f>D6*(1+Assumptions!$B$8)</x:f>
        <x:v>1808793.8061554849</x:v>
      </x:c>
      <x:c r="E7" s="78" t="n">
        <x:f>B7*Assumptions!$B$9</x:f>
        <x:v>713804.2950279892</x:v>
      </x:c>
      <x:c r="F7" s="78" t="n">
        <x:f>B7*Assumptions!$B$10</x:f>
        <x:v>616022.8847501825</x:v>
      </x:c>
      <x:c r="G7" s="78" t="n">
        <x:f>B7-E7-F7</x:f>
        <x:v>625801.0257779632</x:v>
      </x:c>
      <x:c r="H7" s="102" t="n">
        <x:f>G7/B7</x:f>
        <x:v>0.32</x:v>
      </x:c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9" t="n">
        <x:v>46143</x:v>
      </x:c>
      <x:c r="B8" s="78" t="n">
        <x:f>B7*(1+Assumptions!$B$6)</x:f>
        <x:v>2024075.1927505995</x:v>
      </x:c>
      <x:c r="C8" s="78" t="n">
        <x:f>C7*(1+Assumptions!$B$7)</x:f>
        <x:v>2227343.461242965</x:v>
      </x:c>
      <x:c r="D8" s="78" t="n">
        <x:f>D7*(1+Assumptions!$B$8)</x:f>
        <x:v>1835925.713247817</x:v>
      </x:c>
      <x:c r="E8" s="78" t="n">
        <x:f>B8*Assumptions!$B$9</x:f>
        <x:v>738787.4453539688</x:v>
      </x:c>
      <x:c r="F8" s="78" t="n">
        <x:f>B8*Assumptions!$B$10</x:f>
        <x:v>637583.6857164388</x:v>
      </x:c>
      <x:c r="G8" s="78" t="n">
        <x:f>B8-E8-F8</x:f>
        <x:v>647704.0616801919</x:v>
      </x:c>
      <x:c r="H8" s="102" t="n">
        <x:f>G8/B8</x:f>
        <x:v>0.32</x:v>
      </x:c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9" t="n">
        <x:v>46174</x:v>
      </x:c>
      <x:c r="B9" s="78" t="n">
        <x:f>B8*(1+Assumptions!$B$6)</x:f>
        <x:v>2094917.8244968704</x:v>
      </x:c>
      <x:c r="C9" s="78" t="n">
        <x:f>C8*(1+Assumptions!$B$7)</x:f>
        <x:v>2349847.351611328</x:v>
      </x:c>
      <x:c r="D9" s="78" t="n">
        <x:f>D8*(1+Assumptions!$B$8)</x:f>
        <x:v>1863464.598946534</x:v>
      </x:c>
      <x:c r="E9" s="78" t="n">
        <x:f>B9*Assumptions!$B$9</x:f>
        <x:v>764645.0059413577</x:v>
      </x:c>
      <x:c r="F9" s="78" t="n">
        <x:f>B9*Assumptions!$B$10</x:f>
        <x:v>659899.1147165141</x:v>
      </x:c>
      <x:c r="G9" s="78" t="n">
        <x:f>B9-E9-F9</x:f>
        <x:v>670373.7038389986</x:v>
      </x:c>
      <x:c r="H9" s="102" t="n">
        <x:f>G9/B9</x:f>
        <x:v>0.32</x:v>
      </x:c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609999656677246" hidden="0" customWidth="1"/>
    <x:col min="2" max="2" width="61.099998474121094" hidden="0" customWidth="1"/>
    <x:col min="3" max="3" width="80" hidden="0" customWidth="1"/>
  </x:cols>
  <x:sheetData>
    <x:row r="1">
      <x:c r="A1" s="126" t="str">
        <x:v>Source / Input</x:v>
      </x:c>
      <x:c r="B1" s="126" t="str">
        <x:v>Description</x:v>
      </x:c>
      <x:c r="C1" s="130" t="str">
        <x:v>URL / Note</x:v>
      </x:c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 t="str">
        <x:v>Dataset</x:v>
      </x:c>
      <x:c r="B2" s="73" t="str">
        <x:v>Synthetic FP&amp;A monthly budget and actual data for portfolio demonstration.</x:v>
      </x:c>
      <x:c r="C2" s="73" t="str">
        <x:v>Generated specifically for this project; no confidential data used.</x:v>
      </x:c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Methodology</x:v>
      </x:c>
      <x:c r="B3" s="73" t="str">
        <x:v>Variance analysis = Actual - Budget; variance % = variance / budget.</x:v>
      </x:c>
      <x:c r="C3" s="73" t="str">
        <x:v>Internal model formula definitions.</x:v>
      </x:c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Forecast</x:v>
      </x:c>
      <x:c r="B4" s="73" t="str">
        <x:v>Forecast uses growth assumptions and cost ratios from Assumptions sheet.</x:v>
      </x:c>
      <x:c r="C4" s="73" t="str">
        <x:v>Editable assumptions in workbook.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Resume positioning</x:v>
      </x:c>
      <x:c r="B5" s="73" t="str">
        <x:v>Project is suitable for Financial Analyst / FP&amp;A analyst portfolio.</x:v>
      </x:c>
      <x:c r="C5" s="73" t="str">
        <x:v>Use README and Executive Summary for walkthrough.</x:v>
      </x:c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/>
      <x:c r="B6" s="73"/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126" t="str">
        <x:v>FP&amp;A Budget vs Actual Variance Analysis with Forecasting Dashboard</x:v>
      </x:c>
      <x:c r="B1" s="126" t="str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92" t="str">
        <x:v>Purpose</x:v>
      </x:c>
      <x:c r="B2" s="81" t="str">
        <x:v>Portfolio-ready financial analyst project showing budgeting, variance analysis, KPI reporting, forecasting, and management recommendations.</x:v>
      </x:c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92" t="str">
        <x:v>Workbook order</x:v>
      </x:c>
      <x:c r="B3" s="81" t="str">
        <x:v>1) Assumptions → 2) Monthly_Data → 3) Variance_Analysis → 4) Forecast → 5) Dashboard → 6) Sources</x:v>
      </x:c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92" t="str">
        <x:v>Blue font</x:v>
      </x:c>
      <x:c r="B4" s="81" t="str">
        <x:v>Hardcoded inputs / editable assumptions</x:v>
      </x:c>
      <x:c r="C4" s="73"/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92" t="str">
        <x:v>Black font</x:v>
      </x:c>
      <x:c r="B5" s="81" t="str">
        <x:v>Formulas / calculations</x:v>
      </x:c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92" t="str">
        <x:v>Green font</x:v>
      </x:c>
      <x:c r="B6" s="81" t="str">
        <x:v>Linked values from other sheets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92" t="str">
        <x:v>Key output</x:v>
      </x:c>
      <x:c r="B7" s="81" t="str">
        <x:v>Use Dashboard and Forecast for presentation or resume walkthrough.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92" t="str">
        <x:v>Important note</x:v>
      </x:c>
      <x:c r="B8" s="81" t="str">
        <x:v>Dataset is synthetic and designed for learning/portfolio demonstration.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>
      <x:c r="A101" s="73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>
      <x:c r="A102" s="73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>
      <x:c r="A103" s="73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>
      <x:c r="A104" s="73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>
      <x:c r="A106" s="73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>
      <x:c r="A107" s="73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>
      <x:c r="A108" s="73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>
      <x:c r="A109" s="73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>
      <x:c r="A110" s="73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>
      <x:c r="A111" s="73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>
      <x:c r="A112" s="73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>
      <x:c r="A113" s="73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>
      <x:c r="A114" s="73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>
      <x:c r="A115" s="73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>
      <x:c r="A116" s="73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>
      <x:c r="A117" s="73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>
      <x:c r="A118" s="73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>
      <x:c r="A119" s="73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>
      <x:c r="A120" s="73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>
      <x:c r="A121" s="73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>
      <x:c r="A122" s="73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>
      <x:c r="A123" s="73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>
      <x:c r="A126" s="73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>
      <x:c r="A127" s="73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>
      <x:c r="A128" s="73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>
      <x:c r="A129" s="73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>
      <x:c r="A130" s="73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>
      <x:c r="A131" s="73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>
      <x:c r="A132" s="73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>
      <x:c r="A133" s="73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>
      <x:c r="A134" s="73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>
      <x:c r="A135" s="73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>
      <x:c r="A136" s="73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>
      <x:c r="A137" s="73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>
      <x:c r="A138" s="73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>
      <x:c r="A139" s="73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>
      <x:c r="A140" s="73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>
      <x:c r="A141" s="73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>
      <x:c r="A142" s="73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>
      <x:c r="A143" s="73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>
      <x:c r="A144" s="73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>
      <x:c r="A145" s="73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>
      <x:c r="A146" s="73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>
      <x:c r="A147" s="73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>
      <x:c r="A148" s="73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>
      <x:c r="A149" s="73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>
      <x:c r="A150" s="73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>
      <x:c r="A151" s="73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>
      <x:c r="A152" s="73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>
      <x:c r="A153" s="73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>
      <x:c r="A154" s="73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>
      <x:c r="A155" s="73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>
      <x:c r="A156" s="73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>
      <x:c r="A157" s="73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>
      <x:c r="A158" s="73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>
      <x:c r="A159" s="73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>
      <x:c r="A160" s="73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>
      <x:c r="A161" s="73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>
      <x:c r="A162" s="73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>
      <x:c r="A163" s="73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>
      <x:c r="A164" s="73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>
      <x:c r="A165" s="73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>
      <x:c r="A166" s="73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>
      <x:c r="A167" s="73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>
      <x:c r="A168" s="73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>
      <x:c r="A169" s="73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>
      <x:c r="A170" s="73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>
      <x:c r="A171" s="73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>
      <x:c r="A172" s="73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>
      <x:c r="A173" s="73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>
      <x:c r="A174" s="73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>
      <x:c r="A175" s="73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>
      <x:c r="A176" s="73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>
      <x:c r="A177" s="73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>
      <x:c r="A178" s="73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>
      <x:c r="A179" s="73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>
      <x:c r="A180" s="73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>
      <x:c r="A181" s="73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>
      <x:c r="A182" s="73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>
      <x:c r="A183" s="73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>
      <x:c r="A184" s="73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>
      <x:c r="A185" s="73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>
      <x:c r="A186" s="73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>
      <x:c r="A187" s="73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>
      <x:c r="A188" s="73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>
      <x:c r="A189" s="73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>
      <x:c r="A190" s="73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>
      <x:c r="A191" s="73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>
      <x:c r="A192" s="73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>
      <x:c r="A193" s="73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>
      <x:c r="A194" s="73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>
      <x:c r="A195" s="73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>
      <x:c r="A196" s="73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>
      <x:c r="A197" s="73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>
      <x:c r="A198" s="73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>
      <x:c r="A199" s="73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>
      <x:c r="A200" s="73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